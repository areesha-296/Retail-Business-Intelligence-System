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nus\Desktop\"/>
    </mc:Choice>
  </mc:AlternateContent>
  <bookViews>
    <workbookView xWindow="0" yWindow="0" windowWidth="20490" windowHeight="9600" firstSheet="2" activeTab="4"/>
  </bookViews>
  <sheets>
    <sheet name="Original Data" sheetId="1" r:id="rId1"/>
    <sheet name="Cleaned Data" sheetId="2" r:id="rId2"/>
    <sheet name="Formulas &amp; Analysis" sheetId="3" r:id="rId3"/>
    <sheet name="Sheet1" sheetId="7" state="hidden" r:id="rId4"/>
    <sheet name="Pivot Tables" sheetId="4" r:id="rId5"/>
    <sheet name="Dashboard" sheetId="5" r:id="rId6"/>
    <sheet name="Report" sheetId="6" r:id="rId7"/>
  </sheets>
  <definedNames>
    <definedName name="_xlnm._FilterDatabase" localSheetId="0" hidden="1">'Original Data'!$A$1:$P$501</definedName>
    <definedName name="Slicer_Category2">#N/A</definedName>
    <definedName name="Slicer_Customer_Type">#N/A</definedName>
    <definedName name="Slicer_Month1">#N/A</definedName>
    <definedName name="Slicer_Quarter">#N/A</definedName>
    <definedName name="Slicer_Region2">#N/A</definedName>
    <definedName name="Slicer_Salesperson1">#N/A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G6" i="5" l="1"/>
  <c r="E6" i="3" l="1"/>
  <c r="E5" i="3"/>
  <c r="N12" i="2" l="1"/>
  <c r="H11" i="5"/>
  <c r="D5" i="5"/>
  <c r="B5" i="5"/>
  <c r="M26" i="3"/>
  <c r="Q502" i="2" l="1"/>
  <c r="E21" i="3" s="1"/>
  <c r="M502" i="2"/>
  <c r="E18" i="3" s="1"/>
  <c r="M19" i="3"/>
  <c r="V502" i="2"/>
  <c r="L19" i="3"/>
  <c r="L20" i="3"/>
  <c r="M20" i="3" l="1"/>
  <c r="L5" i="3"/>
  <c r="L6" i="3"/>
  <c r="L7" i="3"/>
  <c r="L8" i="3"/>
  <c r="L9" i="3"/>
  <c r="L10" i="3"/>
  <c r="L11" i="3"/>
  <c r="L12" i="3"/>
  <c r="L13" i="3"/>
  <c r="L14" i="3"/>
  <c r="H21" i="3"/>
  <c r="H24" i="3"/>
  <c r="H25" i="3"/>
  <c r="H19" i="3"/>
  <c r="H23" i="3"/>
  <c r="H20" i="3"/>
  <c r="H22" i="3"/>
  <c r="H26" i="3"/>
  <c r="G24" i="3"/>
  <c r="G21" i="3"/>
  <c r="G25" i="3"/>
  <c r="G19" i="3"/>
  <c r="G23" i="3"/>
  <c r="G20" i="3"/>
  <c r="G22" i="3"/>
  <c r="G26" i="3"/>
  <c r="B11" i="5" l="1"/>
  <c r="M10" i="3"/>
  <c r="M14" i="3"/>
  <c r="M9" i="3"/>
  <c r="M6" i="3"/>
  <c r="M5" i="3"/>
  <c r="M13" i="3"/>
  <c r="M12" i="3"/>
  <c r="M8" i="3"/>
  <c r="M7" i="3"/>
  <c r="M11" i="3"/>
  <c r="G5" i="3"/>
  <c r="G6" i="3"/>
  <c r="G7" i="3"/>
  <c r="G8" i="3"/>
  <c r="G9" i="3"/>
  <c r="G10" i="3"/>
  <c r="G11" i="3"/>
  <c r="G12" i="3"/>
  <c r="G13" i="3"/>
  <c r="G14" i="3"/>
  <c r="I5" i="3"/>
  <c r="I6" i="3"/>
  <c r="I7" i="3"/>
  <c r="I8" i="3"/>
  <c r="I9" i="3"/>
  <c r="I10" i="3"/>
  <c r="I11" i="3"/>
  <c r="I12" i="3"/>
  <c r="I13" i="3"/>
  <c r="I14" i="3"/>
  <c r="H5" i="3"/>
  <c r="H6" i="3"/>
  <c r="H7" i="3"/>
  <c r="H8" i="3"/>
  <c r="H9" i="3"/>
  <c r="H10" i="3"/>
  <c r="H11" i="3"/>
  <c r="H12" i="3"/>
  <c r="H13" i="3"/>
  <c r="H14" i="3"/>
  <c r="F5" i="3"/>
  <c r="F6" i="3"/>
  <c r="F7" i="3"/>
  <c r="F8" i="3"/>
  <c r="F9" i="3"/>
  <c r="F10" i="3"/>
  <c r="F11" i="3"/>
  <c r="F12" i="3"/>
  <c r="F13" i="3"/>
  <c r="F14" i="3"/>
  <c r="E7" i="3"/>
  <c r="E8" i="3"/>
  <c r="E9" i="3"/>
  <c r="E10" i="3"/>
  <c r="E11" i="3"/>
  <c r="E12" i="3"/>
  <c r="E13" i="3"/>
  <c r="E14" i="3"/>
  <c r="B5" i="2"/>
  <c r="C5" i="2" s="1"/>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N2" i="2"/>
  <c r="N3" i="2"/>
  <c r="N4" i="2"/>
  <c r="N5" i="2"/>
  <c r="N6" i="2"/>
  <c r="N7" i="2"/>
  <c r="N8" i="2"/>
  <c r="N9" i="2"/>
  <c r="N10" i="2"/>
  <c r="N11"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B2" i="2"/>
  <c r="C2" i="2" s="1"/>
  <c r="B3" i="2"/>
  <c r="C3" i="2" s="1"/>
  <c r="B4" i="2"/>
  <c r="C4" i="2" s="1"/>
  <c r="B6" i="2"/>
  <c r="C6" i="2" s="1"/>
  <c r="B7" i="2"/>
  <c r="C7" i="2" s="1"/>
  <c r="B8" i="2"/>
  <c r="C8" i="2" s="1"/>
  <c r="B9" i="2"/>
  <c r="C9" i="2" s="1"/>
  <c r="B10" i="2"/>
  <c r="C10" i="2" s="1"/>
  <c r="B11" i="2"/>
  <c r="C11" i="2" s="1"/>
  <c r="B12" i="2"/>
  <c r="C12" i="2" s="1"/>
  <c r="B13" i="2"/>
  <c r="C13" i="2" s="1"/>
  <c r="B14" i="2"/>
  <c r="C14" i="2" s="1"/>
  <c r="B15" i="2"/>
  <c r="C15" i="2" s="1"/>
  <c r="B16" i="2"/>
  <c r="C16" i="2" s="1"/>
  <c r="B17" i="2"/>
  <c r="C17" i="2" s="1"/>
  <c r="B18" i="2"/>
  <c r="C18" i="2" s="1"/>
  <c r="B19" i="2"/>
  <c r="C19" i="2" s="1"/>
  <c r="B20" i="2"/>
  <c r="C20" i="2" s="1"/>
  <c r="B21" i="2"/>
  <c r="C21" i="2" s="1"/>
  <c r="B22" i="2"/>
  <c r="C22" i="2" s="1"/>
  <c r="B23" i="2"/>
  <c r="C23" i="2" s="1"/>
  <c r="B24" i="2"/>
  <c r="C24" i="2" s="1"/>
  <c r="B25" i="2"/>
  <c r="C25" i="2" s="1"/>
  <c r="B26" i="2"/>
  <c r="C26" i="2" s="1"/>
  <c r="B27" i="2"/>
  <c r="C27" i="2" s="1"/>
  <c r="B28" i="2"/>
  <c r="C28" i="2" s="1"/>
  <c r="B29" i="2"/>
  <c r="C29" i="2" s="1"/>
  <c r="B30" i="2"/>
  <c r="C30" i="2" s="1"/>
  <c r="B31" i="2"/>
  <c r="C31" i="2" s="1"/>
  <c r="B32" i="2"/>
  <c r="C32" i="2" s="1"/>
  <c r="B33" i="2"/>
  <c r="C33" i="2" s="1"/>
  <c r="B34" i="2"/>
  <c r="C34" i="2" s="1"/>
  <c r="B35" i="2"/>
  <c r="C35" i="2" s="1"/>
  <c r="B36" i="2"/>
  <c r="C36" i="2" s="1"/>
  <c r="B37" i="2"/>
  <c r="C37" i="2" s="1"/>
  <c r="B38" i="2"/>
  <c r="C38" i="2" s="1"/>
  <c r="B39" i="2"/>
  <c r="C39" i="2" s="1"/>
  <c r="B40" i="2"/>
  <c r="C40" i="2" s="1"/>
  <c r="B41" i="2"/>
  <c r="C41" i="2" s="1"/>
  <c r="B42" i="2"/>
  <c r="C42" i="2" s="1"/>
  <c r="B43" i="2"/>
  <c r="C43" i="2" s="1"/>
  <c r="B44" i="2"/>
  <c r="C44" i="2" s="1"/>
  <c r="B45" i="2"/>
  <c r="C45" i="2" s="1"/>
  <c r="B46" i="2"/>
  <c r="C46" i="2" s="1"/>
  <c r="B47" i="2"/>
  <c r="C47" i="2" s="1"/>
  <c r="B48" i="2"/>
  <c r="C48" i="2" s="1"/>
  <c r="B49" i="2"/>
  <c r="C49" i="2" s="1"/>
  <c r="B50" i="2"/>
  <c r="C50" i="2" s="1"/>
  <c r="B51" i="2"/>
  <c r="C51" i="2" s="1"/>
  <c r="B52" i="2"/>
  <c r="C52" i="2" s="1"/>
  <c r="B53" i="2"/>
  <c r="C53" i="2" s="1"/>
  <c r="B54" i="2"/>
  <c r="C54" i="2" s="1"/>
  <c r="B55" i="2"/>
  <c r="C55" i="2" s="1"/>
  <c r="B56" i="2"/>
  <c r="C56" i="2" s="1"/>
  <c r="B57" i="2"/>
  <c r="C57" i="2" s="1"/>
  <c r="B58" i="2"/>
  <c r="C58" i="2" s="1"/>
  <c r="B59" i="2"/>
  <c r="C59" i="2" s="1"/>
  <c r="B60" i="2"/>
  <c r="C60" i="2" s="1"/>
  <c r="B61" i="2"/>
  <c r="C61" i="2" s="1"/>
  <c r="B62" i="2"/>
  <c r="C62" i="2" s="1"/>
  <c r="B63" i="2"/>
  <c r="C63" i="2" s="1"/>
  <c r="B64" i="2"/>
  <c r="C64" i="2" s="1"/>
  <c r="B65" i="2"/>
  <c r="C65" i="2" s="1"/>
  <c r="B66" i="2"/>
  <c r="C66" i="2" s="1"/>
  <c r="B67" i="2"/>
  <c r="C67" i="2" s="1"/>
  <c r="B68" i="2"/>
  <c r="C68" i="2" s="1"/>
  <c r="B69" i="2"/>
  <c r="C69" i="2" s="1"/>
  <c r="B70" i="2"/>
  <c r="C70" i="2" s="1"/>
  <c r="B71" i="2"/>
  <c r="C71" i="2" s="1"/>
  <c r="B72" i="2"/>
  <c r="C72" i="2" s="1"/>
  <c r="B73" i="2"/>
  <c r="C73" i="2" s="1"/>
  <c r="B74" i="2"/>
  <c r="C74" i="2" s="1"/>
  <c r="B75" i="2"/>
  <c r="C75" i="2" s="1"/>
  <c r="B76" i="2"/>
  <c r="C76" i="2" s="1"/>
  <c r="B77" i="2"/>
  <c r="C77" i="2" s="1"/>
  <c r="B78" i="2"/>
  <c r="C78" i="2" s="1"/>
  <c r="B79" i="2"/>
  <c r="C79" i="2" s="1"/>
  <c r="B80" i="2"/>
  <c r="C80" i="2" s="1"/>
  <c r="B81" i="2"/>
  <c r="C81" i="2" s="1"/>
  <c r="B82" i="2"/>
  <c r="C82" i="2" s="1"/>
  <c r="B83" i="2"/>
  <c r="C83" i="2" s="1"/>
  <c r="B84" i="2"/>
  <c r="C84" i="2" s="1"/>
  <c r="B85" i="2"/>
  <c r="C85" i="2" s="1"/>
  <c r="B86" i="2"/>
  <c r="C86" i="2" s="1"/>
  <c r="B87" i="2"/>
  <c r="C87" i="2" s="1"/>
  <c r="B88" i="2"/>
  <c r="C88" i="2" s="1"/>
  <c r="B89" i="2"/>
  <c r="C89" i="2" s="1"/>
  <c r="B90" i="2"/>
  <c r="C90" i="2" s="1"/>
  <c r="B91" i="2"/>
  <c r="C91" i="2" s="1"/>
  <c r="B92" i="2"/>
  <c r="C92" i="2" s="1"/>
  <c r="B93" i="2"/>
  <c r="C93" i="2" s="1"/>
  <c r="B94" i="2"/>
  <c r="C94" i="2" s="1"/>
  <c r="B95" i="2"/>
  <c r="C95" i="2" s="1"/>
  <c r="B96" i="2"/>
  <c r="C96" i="2" s="1"/>
  <c r="B97" i="2"/>
  <c r="C97" i="2" s="1"/>
  <c r="B98" i="2"/>
  <c r="C98" i="2" s="1"/>
  <c r="B99" i="2"/>
  <c r="C99" i="2" s="1"/>
  <c r="B100" i="2"/>
  <c r="C100" i="2" s="1"/>
  <c r="B101" i="2"/>
  <c r="C101" i="2" s="1"/>
  <c r="B102" i="2"/>
  <c r="C102" i="2" s="1"/>
  <c r="B103" i="2"/>
  <c r="C103" i="2" s="1"/>
  <c r="B104" i="2"/>
  <c r="C104" i="2" s="1"/>
  <c r="B105" i="2"/>
  <c r="C105" i="2" s="1"/>
  <c r="B106" i="2"/>
  <c r="C106" i="2" s="1"/>
  <c r="B107" i="2"/>
  <c r="C107" i="2" s="1"/>
  <c r="B108" i="2"/>
  <c r="C108" i="2" s="1"/>
  <c r="B109" i="2"/>
  <c r="C109" i="2" s="1"/>
  <c r="B110" i="2"/>
  <c r="C110" i="2" s="1"/>
  <c r="B111" i="2"/>
  <c r="C111" i="2" s="1"/>
  <c r="B112" i="2"/>
  <c r="C112" i="2" s="1"/>
  <c r="B113" i="2"/>
  <c r="C113" i="2" s="1"/>
  <c r="B114" i="2"/>
  <c r="C114" i="2" s="1"/>
  <c r="B115" i="2"/>
  <c r="C115" i="2" s="1"/>
  <c r="B116" i="2"/>
  <c r="C116" i="2" s="1"/>
  <c r="B117" i="2"/>
  <c r="C117" i="2" s="1"/>
  <c r="B118" i="2"/>
  <c r="C118" i="2" s="1"/>
  <c r="B119" i="2"/>
  <c r="C119" i="2" s="1"/>
  <c r="B120" i="2"/>
  <c r="C120" i="2" s="1"/>
  <c r="B121" i="2"/>
  <c r="C121" i="2" s="1"/>
  <c r="B122" i="2"/>
  <c r="C122" i="2" s="1"/>
  <c r="B123" i="2"/>
  <c r="C123" i="2" s="1"/>
  <c r="B124" i="2"/>
  <c r="C124" i="2" s="1"/>
  <c r="B125" i="2"/>
  <c r="C125" i="2" s="1"/>
  <c r="B126" i="2"/>
  <c r="C126" i="2" s="1"/>
  <c r="B127" i="2"/>
  <c r="C127" i="2" s="1"/>
  <c r="B128" i="2"/>
  <c r="C128" i="2" s="1"/>
  <c r="B129" i="2"/>
  <c r="C129" i="2" s="1"/>
  <c r="B130" i="2"/>
  <c r="C130" i="2" s="1"/>
  <c r="B131" i="2"/>
  <c r="C131" i="2" s="1"/>
  <c r="B132" i="2"/>
  <c r="C132" i="2" s="1"/>
  <c r="B133" i="2"/>
  <c r="C133" i="2" s="1"/>
  <c r="B134" i="2"/>
  <c r="C134" i="2" s="1"/>
  <c r="B135" i="2"/>
  <c r="C135" i="2" s="1"/>
  <c r="B136" i="2"/>
  <c r="C136" i="2" s="1"/>
  <c r="B137" i="2"/>
  <c r="C137" i="2" s="1"/>
  <c r="B138" i="2"/>
  <c r="C138" i="2" s="1"/>
  <c r="B139" i="2"/>
  <c r="C139" i="2" s="1"/>
  <c r="B140" i="2"/>
  <c r="C140" i="2" s="1"/>
  <c r="B141" i="2"/>
  <c r="C141" i="2" s="1"/>
  <c r="B142" i="2"/>
  <c r="C142" i="2" s="1"/>
  <c r="B143" i="2"/>
  <c r="C143" i="2" s="1"/>
  <c r="B144" i="2"/>
  <c r="C144" i="2" s="1"/>
  <c r="B145" i="2"/>
  <c r="C145" i="2" s="1"/>
  <c r="B146" i="2"/>
  <c r="C146" i="2" s="1"/>
  <c r="B147" i="2"/>
  <c r="C147" i="2" s="1"/>
  <c r="B148" i="2"/>
  <c r="C148" i="2" s="1"/>
  <c r="B149" i="2"/>
  <c r="C149" i="2" s="1"/>
  <c r="B150" i="2"/>
  <c r="C150" i="2" s="1"/>
  <c r="B151" i="2"/>
  <c r="C151" i="2" s="1"/>
  <c r="B152" i="2"/>
  <c r="C152" i="2" s="1"/>
  <c r="B153" i="2"/>
  <c r="C153" i="2" s="1"/>
  <c r="B154" i="2"/>
  <c r="C154" i="2" s="1"/>
  <c r="B155" i="2"/>
  <c r="C155" i="2" s="1"/>
  <c r="B156" i="2"/>
  <c r="C156" i="2" s="1"/>
  <c r="B157" i="2"/>
  <c r="C157" i="2" s="1"/>
  <c r="B158" i="2"/>
  <c r="C158" i="2" s="1"/>
  <c r="B159" i="2"/>
  <c r="C159" i="2" s="1"/>
  <c r="B160" i="2"/>
  <c r="C160" i="2" s="1"/>
  <c r="B161" i="2"/>
  <c r="C161" i="2" s="1"/>
  <c r="B162" i="2"/>
  <c r="C162" i="2" s="1"/>
  <c r="B163" i="2"/>
  <c r="C163" i="2" s="1"/>
  <c r="B164" i="2"/>
  <c r="C164" i="2" s="1"/>
  <c r="B165" i="2"/>
  <c r="C165" i="2" s="1"/>
  <c r="B166" i="2"/>
  <c r="C166" i="2" s="1"/>
  <c r="B167" i="2"/>
  <c r="C167" i="2" s="1"/>
  <c r="B168" i="2"/>
  <c r="C168" i="2" s="1"/>
  <c r="B169" i="2"/>
  <c r="C169" i="2" s="1"/>
  <c r="B170" i="2"/>
  <c r="C170" i="2" s="1"/>
  <c r="B171" i="2"/>
  <c r="C171" i="2" s="1"/>
  <c r="B172" i="2"/>
  <c r="C172" i="2" s="1"/>
  <c r="B173" i="2"/>
  <c r="C173" i="2" s="1"/>
  <c r="B174" i="2"/>
  <c r="C174" i="2" s="1"/>
  <c r="B175" i="2"/>
  <c r="C175" i="2" s="1"/>
  <c r="B176" i="2"/>
  <c r="C176" i="2" s="1"/>
  <c r="B177" i="2"/>
  <c r="C177" i="2" s="1"/>
  <c r="B178" i="2"/>
  <c r="C178" i="2" s="1"/>
  <c r="B179" i="2"/>
  <c r="C179" i="2" s="1"/>
  <c r="B180" i="2"/>
  <c r="C180" i="2" s="1"/>
  <c r="B181" i="2"/>
  <c r="C181" i="2" s="1"/>
  <c r="B182" i="2"/>
  <c r="C182" i="2" s="1"/>
  <c r="B183" i="2"/>
  <c r="C183" i="2" s="1"/>
  <c r="B184" i="2"/>
  <c r="C184" i="2" s="1"/>
  <c r="B185" i="2"/>
  <c r="C185" i="2" s="1"/>
  <c r="B186" i="2"/>
  <c r="C186" i="2" s="1"/>
  <c r="B187" i="2"/>
  <c r="C187" i="2" s="1"/>
  <c r="B188" i="2"/>
  <c r="C188" i="2" s="1"/>
  <c r="B189" i="2"/>
  <c r="C189" i="2" s="1"/>
  <c r="B190" i="2"/>
  <c r="C190" i="2" s="1"/>
  <c r="B191" i="2"/>
  <c r="C191" i="2" s="1"/>
  <c r="B192" i="2"/>
  <c r="C192" i="2" s="1"/>
  <c r="B193" i="2"/>
  <c r="C193" i="2" s="1"/>
  <c r="B194" i="2"/>
  <c r="C194" i="2" s="1"/>
  <c r="B195" i="2"/>
  <c r="C195" i="2" s="1"/>
  <c r="B196" i="2"/>
  <c r="C196" i="2" s="1"/>
  <c r="B197" i="2"/>
  <c r="C197" i="2" s="1"/>
  <c r="B198" i="2"/>
  <c r="C198" i="2" s="1"/>
  <c r="B199" i="2"/>
  <c r="C199" i="2" s="1"/>
  <c r="B200" i="2"/>
  <c r="C200" i="2" s="1"/>
  <c r="B201" i="2"/>
  <c r="C201" i="2" s="1"/>
  <c r="B202" i="2"/>
  <c r="C202" i="2" s="1"/>
  <c r="B203" i="2"/>
  <c r="C203" i="2" s="1"/>
  <c r="B204" i="2"/>
  <c r="C204" i="2" s="1"/>
  <c r="B205" i="2"/>
  <c r="C205" i="2" s="1"/>
  <c r="B206" i="2"/>
  <c r="C206" i="2" s="1"/>
  <c r="B207" i="2"/>
  <c r="C207" i="2" s="1"/>
  <c r="B208" i="2"/>
  <c r="C208" i="2" s="1"/>
  <c r="B209" i="2"/>
  <c r="C209" i="2" s="1"/>
  <c r="B210" i="2"/>
  <c r="C210" i="2" s="1"/>
  <c r="B211" i="2"/>
  <c r="C211" i="2" s="1"/>
  <c r="B212" i="2"/>
  <c r="C212" i="2" s="1"/>
  <c r="B213" i="2"/>
  <c r="C213" i="2" s="1"/>
  <c r="B214" i="2"/>
  <c r="C214" i="2" s="1"/>
  <c r="B215" i="2"/>
  <c r="C215" i="2" s="1"/>
  <c r="B216" i="2"/>
  <c r="C216" i="2" s="1"/>
  <c r="B217" i="2"/>
  <c r="C217" i="2" s="1"/>
  <c r="B218" i="2"/>
  <c r="C218" i="2" s="1"/>
  <c r="B219" i="2"/>
  <c r="C219" i="2" s="1"/>
  <c r="B220" i="2"/>
  <c r="C220" i="2" s="1"/>
  <c r="B221" i="2"/>
  <c r="C221" i="2" s="1"/>
  <c r="B222" i="2"/>
  <c r="C222" i="2" s="1"/>
  <c r="B223" i="2"/>
  <c r="C223" i="2" s="1"/>
  <c r="B224" i="2"/>
  <c r="C224" i="2" s="1"/>
  <c r="B225" i="2"/>
  <c r="C225" i="2" s="1"/>
  <c r="B226" i="2"/>
  <c r="C226" i="2" s="1"/>
  <c r="B227" i="2"/>
  <c r="C227" i="2" s="1"/>
  <c r="B228" i="2"/>
  <c r="C228" i="2" s="1"/>
  <c r="B229" i="2"/>
  <c r="C229" i="2" s="1"/>
  <c r="B230" i="2"/>
  <c r="C230" i="2" s="1"/>
  <c r="B231" i="2"/>
  <c r="C231" i="2" s="1"/>
  <c r="B232" i="2"/>
  <c r="C232" i="2" s="1"/>
  <c r="B233" i="2"/>
  <c r="C233" i="2" s="1"/>
  <c r="B234" i="2"/>
  <c r="C234" i="2" s="1"/>
  <c r="B235" i="2"/>
  <c r="C235" i="2" s="1"/>
  <c r="B236" i="2"/>
  <c r="C236" i="2" s="1"/>
  <c r="B237" i="2"/>
  <c r="C237" i="2" s="1"/>
  <c r="B238" i="2"/>
  <c r="C238" i="2" s="1"/>
  <c r="B239" i="2"/>
  <c r="C239" i="2" s="1"/>
  <c r="B240" i="2"/>
  <c r="C240" i="2" s="1"/>
  <c r="B241" i="2"/>
  <c r="C241" i="2" s="1"/>
  <c r="B242" i="2"/>
  <c r="C242" i="2" s="1"/>
  <c r="B243" i="2"/>
  <c r="C243" i="2" s="1"/>
  <c r="B244" i="2"/>
  <c r="C244" i="2" s="1"/>
  <c r="B245" i="2"/>
  <c r="C245" i="2" s="1"/>
  <c r="B246" i="2"/>
  <c r="C246" i="2" s="1"/>
  <c r="B247" i="2"/>
  <c r="C247" i="2" s="1"/>
  <c r="B248" i="2"/>
  <c r="C248" i="2" s="1"/>
  <c r="B249" i="2"/>
  <c r="C249" i="2" s="1"/>
  <c r="B250" i="2"/>
  <c r="C250" i="2" s="1"/>
  <c r="B251" i="2"/>
  <c r="C251" i="2" s="1"/>
  <c r="B252" i="2"/>
  <c r="C252" i="2" s="1"/>
  <c r="B253" i="2"/>
  <c r="C253" i="2" s="1"/>
  <c r="B254" i="2"/>
  <c r="C254" i="2" s="1"/>
  <c r="B255" i="2"/>
  <c r="C255" i="2" s="1"/>
  <c r="B256" i="2"/>
  <c r="C256" i="2" s="1"/>
  <c r="B257" i="2"/>
  <c r="C257" i="2" s="1"/>
  <c r="B258" i="2"/>
  <c r="C258" i="2" s="1"/>
  <c r="B259" i="2"/>
  <c r="C259" i="2" s="1"/>
  <c r="B260" i="2"/>
  <c r="C260" i="2" s="1"/>
  <c r="B261" i="2"/>
  <c r="C261" i="2" s="1"/>
  <c r="B262" i="2"/>
  <c r="C262" i="2" s="1"/>
  <c r="B263" i="2"/>
  <c r="C263" i="2" s="1"/>
  <c r="B264" i="2"/>
  <c r="C264" i="2" s="1"/>
  <c r="B265" i="2"/>
  <c r="C265" i="2" s="1"/>
  <c r="B266" i="2"/>
  <c r="C266" i="2" s="1"/>
  <c r="B267" i="2"/>
  <c r="C267" i="2" s="1"/>
  <c r="B268" i="2"/>
  <c r="C268" i="2" s="1"/>
  <c r="B269" i="2"/>
  <c r="C269" i="2" s="1"/>
  <c r="B270" i="2"/>
  <c r="C270" i="2" s="1"/>
  <c r="B271" i="2"/>
  <c r="C271" i="2" s="1"/>
  <c r="B272" i="2"/>
  <c r="C272" i="2" s="1"/>
  <c r="B273" i="2"/>
  <c r="C273" i="2" s="1"/>
  <c r="B274" i="2"/>
  <c r="C274" i="2" s="1"/>
  <c r="B275" i="2"/>
  <c r="C275" i="2" s="1"/>
  <c r="B276" i="2"/>
  <c r="C276" i="2" s="1"/>
  <c r="B277" i="2"/>
  <c r="C277" i="2" s="1"/>
  <c r="B278" i="2"/>
  <c r="C278" i="2" s="1"/>
  <c r="B279" i="2"/>
  <c r="C279" i="2" s="1"/>
  <c r="B280" i="2"/>
  <c r="C280" i="2" s="1"/>
  <c r="B281" i="2"/>
  <c r="C281" i="2" s="1"/>
  <c r="B282" i="2"/>
  <c r="C282" i="2" s="1"/>
  <c r="B283" i="2"/>
  <c r="C283" i="2" s="1"/>
  <c r="B284" i="2"/>
  <c r="C284" i="2" s="1"/>
  <c r="B285" i="2"/>
  <c r="C285" i="2" s="1"/>
  <c r="B286" i="2"/>
  <c r="C286" i="2" s="1"/>
  <c r="B287" i="2"/>
  <c r="C287" i="2" s="1"/>
  <c r="B288" i="2"/>
  <c r="C288" i="2" s="1"/>
  <c r="B289" i="2"/>
  <c r="C289" i="2" s="1"/>
  <c r="B290" i="2"/>
  <c r="C290" i="2" s="1"/>
  <c r="B291" i="2"/>
  <c r="C291" i="2" s="1"/>
  <c r="B292" i="2"/>
  <c r="C292" i="2" s="1"/>
  <c r="B293" i="2"/>
  <c r="C293" i="2" s="1"/>
  <c r="B294" i="2"/>
  <c r="C294" i="2" s="1"/>
  <c r="B295" i="2"/>
  <c r="C295" i="2" s="1"/>
  <c r="B296" i="2"/>
  <c r="C296" i="2" s="1"/>
  <c r="B297" i="2"/>
  <c r="C297" i="2" s="1"/>
  <c r="B298" i="2"/>
  <c r="C298" i="2" s="1"/>
  <c r="B299" i="2"/>
  <c r="C299" i="2" s="1"/>
  <c r="B300" i="2"/>
  <c r="C300" i="2" s="1"/>
  <c r="B301" i="2"/>
  <c r="C301" i="2" s="1"/>
  <c r="B302" i="2"/>
  <c r="C302" i="2" s="1"/>
  <c r="B303" i="2"/>
  <c r="C303" i="2" s="1"/>
  <c r="B304" i="2"/>
  <c r="C304" i="2" s="1"/>
  <c r="B305" i="2"/>
  <c r="C305" i="2" s="1"/>
  <c r="B306" i="2"/>
  <c r="C306" i="2" s="1"/>
  <c r="B307" i="2"/>
  <c r="C307" i="2" s="1"/>
  <c r="B308" i="2"/>
  <c r="C308" i="2" s="1"/>
  <c r="B309" i="2"/>
  <c r="C309" i="2" s="1"/>
  <c r="B310" i="2"/>
  <c r="C310" i="2" s="1"/>
  <c r="B311" i="2"/>
  <c r="C311" i="2" s="1"/>
  <c r="B312" i="2"/>
  <c r="C312" i="2" s="1"/>
  <c r="B313" i="2"/>
  <c r="C313" i="2" s="1"/>
  <c r="B314" i="2"/>
  <c r="C314" i="2" s="1"/>
  <c r="B315" i="2"/>
  <c r="C315" i="2" s="1"/>
  <c r="B316" i="2"/>
  <c r="C316" i="2" s="1"/>
  <c r="B317" i="2"/>
  <c r="C317" i="2" s="1"/>
  <c r="B318" i="2"/>
  <c r="C318" i="2" s="1"/>
  <c r="B319" i="2"/>
  <c r="C319" i="2" s="1"/>
  <c r="B320" i="2"/>
  <c r="C320" i="2" s="1"/>
  <c r="B321" i="2"/>
  <c r="C321" i="2" s="1"/>
  <c r="B322" i="2"/>
  <c r="C322" i="2" s="1"/>
  <c r="B323" i="2"/>
  <c r="C323" i="2" s="1"/>
  <c r="B324" i="2"/>
  <c r="C324" i="2" s="1"/>
  <c r="B325" i="2"/>
  <c r="C325" i="2" s="1"/>
  <c r="B326" i="2"/>
  <c r="C326" i="2" s="1"/>
  <c r="B327" i="2"/>
  <c r="C327" i="2" s="1"/>
  <c r="B328" i="2"/>
  <c r="C328" i="2" s="1"/>
  <c r="B329" i="2"/>
  <c r="C329" i="2" s="1"/>
  <c r="B330" i="2"/>
  <c r="C330" i="2" s="1"/>
  <c r="B331" i="2"/>
  <c r="C331" i="2" s="1"/>
  <c r="B332" i="2"/>
  <c r="C332" i="2" s="1"/>
  <c r="B333" i="2"/>
  <c r="C333" i="2" s="1"/>
  <c r="B334" i="2"/>
  <c r="C334" i="2" s="1"/>
  <c r="B335" i="2"/>
  <c r="C335" i="2" s="1"/>
  <c r="B336" i="2"/>
  <c r="C336" i="2" s="1"/>
  <c r="B337" i="2"/>
  <c r="C337" i="2" s="1"/>
  <c r="B338" i="2"/>
  <c r="C338" i="2" s="1"/>
  <c r="B339" i="2"/>
  <c r="C339" i="2" s="1"/>
  <c r="B340" i="2"/>
  <c r="C340" i="2" s="1"/>
  <c r="B341" i="2"/>
  <c r="C341" i="2" s="1"/>
  <c r="B342" i="2"/>
  <c r="C342" i="2" s="1"/>
  <c r="B343" i="2"/>
  <c r="C343" i="2" s="1"/>
  <c r="B344" i="2"/>
  <c r="C344" i="2" s="1"/>
  <c r="B345" i="2"/>
  <c r="C345" i="2" s="1"/>
  <c r="B346" i="2"/>
  <c r="C346" i="2" s="1"/>
  <c r="B347" i="2"/>
  <c r="C347" i="2" s="1"/>
  <c r="B348" i="2"/>
  <c r="C348" i="2" s="1"/>
  <c r="B349" i="2"/>
  <c r="C349" i="2" s="1"/>
  <c r="B350" i="2"/>
  <c r="C350" i="2" s="1"/>
  <c r="B351" i="2"/>
  <c r="C351" i="2" s="1"/>
  <c r="B352" i="2"/>
  <c r="C352" i="2" s="1"/>
  <c r="B353" i="2"/>
  <c r="C353" i="2" s="1"/>
  <c r="B354" i="2"/>
  <c r="C354" i="2" s="1"/>
  <c r="B355" i="2"/>
  <c r="C355" i="2" s="1"/>
  <c r="B356" i="2"/>
  <c r="C356" i="2" s="1"/>
  <c r="B357" i="2"/>
  <c r="C357" i="2" s="1"/>
  <c r="B358" i="2"/>
  <c r="C358" i="2" s="1"/>
  <c r="B359" i="2"/>
  <c r="C359" i="2" s="1"/>
  <c r="B360" i="2"/>
  <c r="C360" i="2" s="1"/>
  <c r="B361" i="2"/>
  <c r="C361" i="2" s="1"/>
  <c r="B362" i="2"/>
  <c r="C362" i="2" s="1"/>
  <c r="B363" i="2"/>
  <c r="C363" i="2" s="1"/>
  <c r="B364" i="2"/>
  <c r="C364" i="2" s="1"/>
  <c r="B365" i="2"/>
  <c r="C365" i="2" s="1"/>
  <c r="B366" i="2"/>
  <c r="C366" i="2" s="1"/>
  <c r="B367" i="2"/>
  <c r="C367" i="2" s="1"/>
  <c r="B368" i="2"/>
  <c r="C368" i="2" s="1"/>
  <c r="B369" i="2"/>
  <c r="C369" i="2" s="1"/>
  <c r="B370" i="2"/>
  <c r="C370" i="2" s="1"/>
  <c r="B371" i="2"/>
  <c r="C371" i="2" s="1"/>
  <c r="B372" i="2"/>
  <c r="C372" i="2" s="1"/>
  <c r="B373" i="2"/>
  <c r="C373" i="2" s="1"/>
  <c r="B374" i="2"/>
  <c r="C374" i="2" s="1"/>
  <c r="B375" i="2"/>
  <c r="C375" i="2" s="1"/>
  <c r="B376" i="2"/>
  <c r="C376" i="2" s="1"/>
  <c r="B377" i="2"/>
  <c r="C377" i="2" s="1"/>
  <c r="B378" i="2"/>
  <c r="C378" i="2" s="1"/>
  <c r="B379" i="2"/>
  <c r="C379" i="2" s="1"/>
  <c r="B380" i="2"/>
  <c r="C380" i="2" s="1"/>
  <c r="B381" i="2"/>
  <c r="C381" i="2" s="1"/>
  <c r="B382" i="2"/>
  <c r="C382" i="2" s="1"/>
  <c r="B383" i="2"/>
  <c r="C383" i="2" s="1"/>
  <c r="B384" i="2"/>
  <c r="C384" i="2" s="1"/>
  <c r="B385" i="2"/>
  <c r="C385" i="2" s="1"/>
  <c r="B386" i="2"/>
  <c r="C386" i="2" s="1"/>
  <c r="B387" i="2"/>
  <c r="C387" i="2" s="1"/>
  <c r="B388" i="2"/>
  <c r="C388" i="2" s="1"/>
  <c r="B389" i="2"/>
  <c r="C389" i="2" s="1"/>
  <c r="B390" i="2"/>
  <c r="C390" i="2" s="1"/>
  <c r="B391" i="2"/>
  <c r="C391" i="2" s="1"/>
  <c r="B392" i="2"/>
  <c r="C392" i="2" s="1"/>
  <c r="B393" i="2"/>
  <c r="C393" i="2" s="1"/>
  <c r="B394" i="2"/>
  <c r="C394" i="2" s="1"/>
  <c r="B395" i="2"/>
  <c r="C395" i="2" s="1"/>
  <c r="B396" i="2"/>
  <c r="C396" i="2" s="1"/>
  <c r="B397" i="2"/>
  <c r="C397" i="2" s="1"/>
  <c r="B398" i="2"/>
  <c r="C398" i="2" s="1"/>
  <c r="B399" i="2"/>
  <c r="C399" i="2" s="1"/>
  <c r="B400" i="2"/>
  <c r="C400" i="2" s="1"/>
  <c r="B401" i="2"/>
  <c r="C401" i="2" s="1"/>
  <c r="B402" i="2"/>
  <c r="C402" i="2" s="1"/>
  <c r="B403" i="2"/>
  <c r="C403" i="2" s="1"/>
  <c r="B404" i="2"/>
  <c r="C404" i="2" s="1"/>
  <c r="B405" i="2"/>
  <c r="C405" i="2" s="1"/>
  <c r="B406" i="2"/>
  <c r="C406" i="2" s="1"/>
  <c r="B407" i="2"/>
  <c r="C407" i="2" s="1"/>
  <c r="B408" i="2"/>
  <c r="C408" i="2" s="1"/>
  <c r="B409" i="2"/>
  <c r="C409" i="2" s="1"/>
  <c r="B410" i="2"/>
  <c r="C410" i="2" s="1"/>
  <c r="B411" i="2"/>
  <c r="C411" i="2" s="1"/>
  <c r="B412" i="2"/>
  <c r="C412" i="2" s="1"/>
  <c r="B413" i="2"/>
  <c r="C413" i="2" s="1"/>
  <c r="B414" i="2"/>
  <c r="C414" i="2" s="1"/>
  <c r="B415" i="2"/>
  <c r="C415" i="2" s="1"/>
  <c r="B416" i="2"/>
  <c r="C416" i="2" s="1"/>
  <c r="B417" i="2"/>
  <c r="C417" i="2" s="1"/>
  <c r="B418" i="2"/>
  <c r="C418" i="2" s="1"/>
  <c r="B419" i="2"/>
  <c r="C419" i="2" s="1"/>
  <c r="B420" i="2"/>
  <c r="C420" i="2" s="1"/>
  <c r="B421" i="2"/>
  <c r="C421" i="2" s="1"/>
  <c r="B422" i="2"/>
  <c r="C422" i="2" s="1"/>
  <c r="B423" i="2"/>
  <c r="C423" i="2" s="1"/>
  <c r="B424" i="2"/>
  <c r="C424" i="2" s="1"/>
  <c r="B425" i="2"/>
  <c r="C425" i="2" s="1"/>
  <c r="B426" i="2"/>
  <c r="C426" i="2" s="1"/>
  <c r="B427" i="2"/>
  <c r="C427" i="2" s="1"/>
  <c r="B428" i="2"/>
  <c r="C428" i="2" s="1"/>
  <c r="B429" i="2"/>
  <c r="C429" i="2" s="1"/>
  <c r="B430" i="2"/>
  <c r="C430" i="2" s="1"/>
  <c r="B431" i="2"/>
  <c r="C431" i="2" s="1"/>
  <c r="B432" i="2"/>
  <c r="C432" i="2" s="1"/>
  <c r="B433" i="2"/>
  <c r="C433" i="2" s="1"/>
  <c r="B434" i="2"/>
  <c r="C434" i="2" s="1"/>
  <c r="B435" i="2"/>
  <c r="C435" i="2" s="1"/>
  <c r="B436" i="2"/>
  <c r="C436" i="2" s="1"/>
  <c r="B437" i="2"/>
  <c r="C437" i="2" s="1"/>
  <c r="B438" i="2"/>
  <c r="C438" i="2" s="1"/>
  <c r="B439" i="2"/>
  <c r="C439" i="2" s="1"/>
  <c r="B440" i="2"/>
  <c r="C440" i="2" s="1"/>
  <c r="B441" i="2"/>
  <c r="C441" i="2" s="1"/>
  <c r="B442" i="2"/>
  <c r="C442" i="2" s="1"/>
  <c r="B443" i="2"/>
  <c r="C443" i="2" s="1"/>
  <c r="B444" i="2"/>
  <c r="C444" i="2" s="1"/>
  <c r="B445" i="2"/>
  <c r="C445" i="2" s="1"/>
  <c r="B446" i="2"/>
  <c r="C446" i="2" s="1"/>
  <c r="B447" i="2"/>
  <c r="C447" i="2" s="1"/>
  <c r="B448" i="2"/>
  <c r="C448" i="2" s="1"/>
  <c r="B449" i="2"/>
  <c r="C449" i="2" s="1"/>
  <c r="B450" i="2"/>
  <c r="C450" i="2" s="1"/>
  <c r="B451" i="2"/>
  <c r="C451" i="2" s="1"/>
  <c r="B452" i="2"/>
  <c r="C452" i="2" s="1"/>
  <c r="B453" i="2"/>
  <c r="C453" i="2" s="1"/>
  <c r="B454" i="2"/>
  <c r="C454" i="2" s="1"/>
  <c r="B455" i="2"/>
  <c r="C455" i="2" s="1"/>
  <c r="B456" i="2"/>
  <c r="C456" i="2" s="1"/>
  <c r="B457" i="2"/>
  <c r="C457" i="2" s="1"/>
  <c r="B458" i="2"/>
  <c r="C458" i="2" s="1"/>
  <c r="B459" i="2"/>
  <c r="C459" i="2" s="1"/>
  <c r="B460" i="2"/>
  <c r="C460" i="2" s="1"/>
  <c r="B461" i="2"/>
  <c r="C461" i="2" s="1"/>
  <c r="B462" i="2"/>
  <c r="C462" i="2" s="1"/>
  <c r="B463" i="2"/>
  <c r="C463" i="2" s="1"/>
  <c r="B464" i="2"/>
  <c r="C464" i="2" s="1"/>
  <c r="B465" i="2"/>
  <c r="C465" i="2" s="1"/>
  <c r="B466" i="2"/>
  <c r="C466" i="2" s="1"/>
  <c r="B467" i="2"/>
  <c r="C467" i="2" s="1"/>
  <c r="B468" i="2"/>
  <c r="C468" i="2" s="1"/>
  <c r="B469" i="2"/>
  <c r="C469" i="2" s="1"/>
  <c r="B470" i="2"/>
  <c r="C470" i="2" s="1"/>
  <c r="B471" i="2"/>
  <c r="C471" i="2" s="1"/>
  <c r="B472" i="2"/>
  <c r="C472" i="2" s="1"/>
  <c r="B473" i="2"/>
  <c r="C473" i="2" s="1"/>
  <c r="B474" i="2"/>
  <c r="C474" i="2" s="1"/>
  <c r="B475" i="2"/>
  <c r="C475" i="2" s="1"/>
  <c r="B476" i="2"/>
  <c r="C476" i="2" s="1"/>
  <c r="B477" i="2"/>
  <c r="C477" i="2" s="1"/>
  <c r="B478" i="2"/>
  <c r="C478" i="2" s="1"/>
  <c r="B479" i="2"/>
  <c r="C479" i="2" s="1"/>
  <c r="B480" i="2"/>
  <c r="C480" i="2" s="1"/>
  <c r="B481" i="2"/>
  <c r="C481" i="2" s="1"/>
  <c r="B482" i="2"/>
  <c r="C482" i="2" s="1"/>
  <c r="B483" i="2"/>
  <c r="C483" i="2" s="1"/>
  <c r="B484" i="2"/>
  <c r="C484" i="2" s="1"/>
  <c r="B485" i="2"/>
  <c r="C485" i="2" s="1"/>
  <c r="B486" i="2"/>
  <c r="C486" i="2" s="1"/>
  <c r="B487" i="2"/>
  <c r="C487" i="2" s="1"/>
  <c r="B488" i="2"/>
  <c r="C488" i="2" s="1"/>
  <c r="B489" i="2"/>
  <c r="C489" i="2" s="1"/>
  <c r="B490" i="2"/>
  <c r="C490" i="2" s="1"/>
  <c r="B491" i="2"/>
  <c r="C491" i="2" s="1"/>
  <c r="B492" i="2"/>
  <c r="C492" i="2" s="1"/>
  <c r="B493" i="2"/>
  <c r="C493" i="2" s="1"/>
  <c r="B494" i="2"/>
  <c r="C494" i="2" s="1"/>
  <c r="B495" i="2"/>
  <c r="C495" i="2" s="1"/>
  <c r="B496" i="2"/>
  <c r="C496" i="2" s="1"/>
  <c r="B497" i="2"/>
  <c r="C497" i="2" s="1"/>
  <c r="B498" i="2"/>
  <c r="C498" i="2" s="1"/>
  <c r="B499" i="2"/>
  <c r="C499" i="2" s="1"/>
  <c r="B500" i="2"/>
  <c r="C500" i="2" s="1"/>
  <c r="B501" i="2"/>
  <c r="C501" i="2" s="1"/>
  <c r="D30" i="3" l="1"/>
  <c r="E498" i="2"/>
  <c r="E490" i="2"/>
  <c r="E462" i="2"/>
  <c r="D458" i="2"/>
  <c r="E414" i="2"/>
  <c r="E410" i="2"/>
  <c r="E370" i="2"/>
  <c r="D362" i="2"/>
  <c r="D298" i="2"/>
  <c r="D290" i="2"/>
  <c r="D258" i="2"/>
  <c r="D250" i="2"/>
  <c r="D226" i="2"/>
  <c r="D210" i="2"/>
  <c r="D146" i="2"/>
  <c r="D114" i="2"/>
  <c r="D98" i="2"/>
  <c r="D26" i="2"/>
  <c r="D18" i="2"/>
  <c r="E494" i="2"/>
  <c r="D486" i="2"/>
  <c r="E446" i="2"/>
  <c r="E442" i="2"/>
  <c r="E398" i="2"/>
  <c r="D394" i="2"/>
  <c r="E386" i="2"/>
  <c r="E346" i="2"/>
  <c r="E338" i="2"/>
  <c r="E330" i="2"/>
  <c r="D274" i="2"/>
  <c r="D242" i="2"/>
  <c r="D234" i="2"/>
  <c r="E198" i="2"/>
  <c r="D194" i="2"/>
  <c r="D178" i="2"/>
  <c r="D162" i="2"/>
  <c r="D154" i="2"/>
  <c r="D130" i="2"/>
  <c r="D66" i="2"/>
  <c r="D34" i="2"/>
  <c r="E497" i="2"/>
  <c r="E485" i="2"/>
  <c r="E473" i="2"/>
  <c r="D457" i="2"/>
  <c r="E437" i="2"/>
  <c r="E421" i="2"/>
  <c r="E405" i="2"/>
  <c r="D393" i="2"/>
  <c r="E377" i="2"/>
  <c r="E353" i="2"/>
  <c r="E337" i="2"/>
  <c r="E329" i="2"/>
  <c r="D325" i="2"/>
  <c r="E321" i="2"/>
  <c r="E305" i="2"/>
  <c r="E289" i="2"/>
  <c r="E273" i="2"/>
  <c r="D241" i="2"/>
  <c r="E225" i="2"/>
  <c r="E209" i="2"/>
  <c r="E201" i="2"/>
  <c r="E185" i="2"/>
  <c r="E161" i="2"/>
  <c r="E145" i="2"/>
  <c r="D141" i="2"/>
  <c r="E137" i="2"/>
  <c r="E121" i="2"/>
  <c r="E97" i="2"/>
  <c r="E81" i="2"/>
  <c r="D77" i="2"/>
  <c r="E73" i="2"/>
  <c r="E57" i="2"/>
  <c r="E33" i="2"/>
  <c r="E9" i="2"/>
  <c r="E478" i="2"/>
  <c r="E474" i="2"/>
  <c r="E430" i="2"/>
  <c r="D426" i="2"/>
  <c r="E378" i="2"/>
  <c r="E354" i="2"/>
  <c r="D326" i="2"/>
  <c r="D322" i="2"/>
  <c r="D306" i="2"/>
  <c r="D90" i="2"/>
  <c r="D82" i="2"/>
  <c r="D50" i="2"/>
  <c r="D501" i="2"/>
  <c r="E493" i="2"/>
  <c r="E489" i="2"/>
  <c r="E469" i="2"/>
  <c r="E453" i="2"/>
  <c r="E441" i="2"/>
  <c r="D425" i="2"/>
  <c r="E409" i="2"/>
  <c r="E385" i="2"/>
  <c r="E369" i="2"/>
  <c r="D361" i="2"/>
  <c r="E345" i="2"/>
  <c r="E313" i="2"/>
  <c r="E297" i="2"/>
  <c r="E281" i="2"/>
  <c r="E265" i="2"/>
  <c r="D261" i="2"/>
  <c r="E257" i="2"/>
  <c r="E249" i="2"/>
  <c r="E233" i="2"/>
  <c r="E217" i="2"/>
  <c r="D197" i="2"/>
  <c r="E193" i="2"/>
  <c r="E177" i="2"/>
  <c r="D173" i="2"/>
  <c r="E169" i="2"/>
  <c r="E153" i="2"/>
  <c r="E129" i="2"/>
  <c r="E113" i="2"/>
  <c r="D109" i="2"/>
  <c r="E105" i="2"/>
  <c r="E89" i="2"/>
  <c r="E65" i="2"/>
  <c r="E49" i="2"/>
  <c r="D45" i="2"/>
  <c r="E41" i="2"/>
  <c r="E25" i="2"/>
  <c r="E17" i="2"/>
  <c r="E484" i="2"/>
  <c r="E480" i="2"/>
  <c r="E468" i="2"/>
  <c r="E464" i="2"/>
  <c r="E452" i="2"/>
  <c r="E448" i="2"/>
  <c r="E436" i="2"/>
  <c r="E432" i="2"/>
  <c r="E420" i="2"/>
  <c r="E416" i="2"/>
  <c r="E404" i="2"/>
  <c r="E400" i="2"/>
  <c r="D304" i="2"/>
  <c r="D284" i="2"/>
  <c r="D240" i="2"/>
  <c r="D220" i="2"/>
  <c r="E11" i="5"/>
  <c r="N502" i="2"/>
  <c r="E24" i="3" s="1"/>
  <c r="I23" i="3"/>
  <c r="I21" i="3"/>
  <c r="D2" i="2"/>
  <c r="I26" i="3"/>
  <c r="I20" i="3"/>
  <c r="I19" i="3"/>
  <c r="I24" i="3"/>
  <c r="I22" i="3"/>
  <c r="I25" i="3"/>
  <c r="D493" i="2"/>
  <c r="E501" i="2"/>
  <c r="E457" i="2"/>
  <c r="D473" i="2"/>
  <c r="E393" i="2"/>
  <c r="D420" i="2"/>
  <c r="E325" i="2"/>
  <c r="D354" i="2"/>
  <c r="D485" i="2"/>
  <c r="D464" i="2"/>
  <c r="D441" i="2"/>
  <c r="D410" i="2"/>
  <c r="D385" i="2"/>
  <c r="D353" i="2"/>
  <c r="D321" i="2"/>
  <c r="D289" i="2"/>
  <c r="D257" i="2"/>
  <c r="D225" i="2"/>
  <c r="D193" i="2"/>
  <c r="D161" i="2"/>
  <c r="D129" i="2"/>
  <c r="D97" i="2"/>
  <c r="D65" i="2"/>
  <c r="D33" i="2"/>
  <c r="E486" i="2"/>
  <c r="E426" i="2"/>
  <c r="E362" i="2"/>
  <c r="E284" i="2"/>
  <c r="E197" i="2"/>
  <c r="D442" i="2"/>
  <c r="D484" i="2"/>
  <c r="D453" i="2"/>
  <c r="D432" i="2"/>
  <c r="D409" i="2"/>
  <c r="D370" i="2"/>
  <c r="D338" i="2"/>
  <c r="E425" i="2"/>
  <c r="E361" i="2"/>
  <c r="E241" i="2"/>
  <c r="E141" i="2"/>
  <c r="D386" i="2"/>
  <c r="D494" i="2"/>
  <c r="D474" i="2"/>
  <c r="D452" i="2"/>
  <c r="D421" i="2"/>
  <c r="D400" i="2"/>
  <c r="D369" i="2"/>
  <c r="D337" i="2"/>
  <c r="D305" i="2"/>
  <c r="D273" i="2"/>
  <c r="D209" i="2"/>
  <c r="D177" i="2"/>
  <c r="D145" i="2"/>
  <c r="D113" i="2"/>
  <c r="D81" i="2"/>
  <c r="D49" i="2"/>
  <c r="D17" i="2"/>
  <c r="E458" i="2"/>
  <c r="E394" i="2"/>
  <c r="E326" i="2"/>
  <c r="E240" i="2"/>
  <c r="E77" i="2"/>
  <c r="E499" i="2"/>
  <c r="D499" i="2"/>
  <c r="E487" i="2"/>
  <c r="D487" i="2"/>
  <c r="D479" i="2"/>
  <c r="E479" i="2"/>
  <c r="E463" i="2"/>
  <c r="D463" i="2"/>
  <c r="E447" i="2"/>
  <c r="D447" i="2"/>
  <c r="E431" i="2"/>
  <c r="D431" i="2"/>
  <c r="E415" i="2"/>
  <c r="D415" i="2"/>
  <c r="E399" i="2"/>
  <c r="D399" i="2"/>
  <c r="E383" i="2"/>
  <c r="D383" i="2"/>
  <c r="E375" i="2"/>
  <c r="D375" i="2"/>
  <c r="E359" i="2"/>
  <c r="D359" i="2"/>
  <c r="E343" i="2"/>
  <c r="D343" i="2"/>
  <c r="E327" i="2"/>
  <c r="D327" i="2"/>
  <c r="E307" i="2"/>
  <c r="D307" i="2"/>
  <c r="E291" i="2"/>
  <c r="D291" i="2"/>
  <c r="E275" i="2"/>
  <c r="D275" i="2"/>
  <c r="E259" i="2"/>
  <c r="D259" i="2"/>
  <c r="E243" i="2"/>
  <c r="D243" i="2"/>
  <c r="E227" i="2"/>
  <c r="D227" i="2"/>
  <c r="E211" i="2"/>
  <c r="D211" i="2"/>
  <c r="E195" i="2"/>
  <c r="D195" i="2"/>
  <c r="E187" i="2"/>
  <c r="D187" i="2"/>
  <c r="E171" i="2"/>
  <c r="D171" i="2"/>
  <c r="E155" i="2"/>
  <c r="D155" i="2"/>
  <c r="E139" i="2"/>
  <c r="D139" i="2"/>
  <c r="E123" i="2"/>
  <c r="D123" i="2"/>
  <c r="E107" i="2"/>
  <c r="D107" i="2"/>
  <c r="E91" i="2"/>
  <c r="D91" i="2"/>
  <c r="E75" i="2"/>
  <c r="D75" i="2"/>
  <c r="E59" i="2"/>
  <c r="D59" i="2"/>
  <c r="E43" i="2"/>
  <c r="D43" i="2"/>
  <c r="E27" i="2"/>
  <c r="D27" i="2"/>
  <c r="E11" i="2"/>
  <c r="D11" i="2"/>
  <c r="E7" i="2"/>
  <c r="D7" i="2"/>
  <c r="E3" i="2"/>
  <c r="D3" i="2"/>
  <c r="E495" i="2"/>
  <c r="D495" i="2"/>
  <c r="E475" i="2"/>
  <c r="D475" i="2"/>
  <c r="E459" i="2"/>
  <c r="D459" i="2"/>
  <c r="E443" i="2"/>
  <c r="D443" i="2"/>
  <c r="E427" i="2"/>
  <c r="D427" i="2"/>
  <c r="E411" i="2"/>
  <c r="D411" i="2"/>
  <c r="E395" i="2"/>
  <c r="D395" i="2"/>
  <c r="E379" i="2"/>
  <c r="D379" i="2"/>
  <c r="E371" i="2"/>
  <c r="D371" i="2"/>
  <c r="E355" i="2"/>
  <c r="D355" i="2"/>
  <c r="E339" i="2"/>
  <c r="D339" i="2"/>
  <c r="E323" i="2"/>
  <c r="D323" i="2"/>
  <c r="E311" i="2"/>
  <c r="D311" i="2"/>
  <c r="E295" i="2"/>
  <c r="D295" i="2"/>
  <c r="E279" i="2"/>
  <c r="D279" i="2"/>
  <c r="E263" i="2"/>
  <c r="D263" i="2"/>
  <c r="E247" i="2"/>
  <c r="D247" i="2"/>
  <c r="E231" i="2"/>
  <c r="D231" i="2"/>
  <c r="E223" i="2"/>
  <c r="D223" i="2"/>
  <c r="E207" i="2"/>
  <c r="D207" i="2"/>
  <c r="E191" i="2"/>
  <c r="D191" i="2"/>
  <c r="E175" i="2"/>
  <c r="D175" i="2"/>
  <c r="E159" i="2"/>
  <c r="D159" i="2"/>
  <c r="E143" i="2"/>
  <c r="D143" i="2"/>
  <c r="E135" i="2"/>
  <c r="D135" i="2"/>
  <c r="E119" i="2"/>
  <c r="D119" i="2"/>
  <c r="E103" i="2"/>
  <c r="D103" i="2"/>
  <c r="E87" i="2"/>
  <c r="D87" i="2"/>
  <c r="E71" i="2"/>
  <c r="D71" i="2"/>
  <c r="E55" i="2"/>
  <c r="D55" i="2"/>
  <c r="E39" i="2"/>
  <c r="D39" i="2"/>
  <c r="E23" i="2"/>
  <c r="D23" i="2"/>
  <c r="E418" i="2"/>
  <c r="D418" i="2"/>
  <c r="E406" i="2"/>
  <c r="D406" i="2"/>
  <c r="E358" i="2"/>
  <c r="D358" i="2"/>
  <c r="E342" i="2"/>
  <c r="D342" i="2"/>
  <c r="E334" i="2"/>
  <c r="D334" i="2"/>
  <c r="E266" i="2"/>
  <c r="E206" i="2"/>
  <c r="D206" i="2"/>
  <c r="D198" i="2"/>
  <c r="E190" i="2"/>
  <c r="D190" i="2"/>
  <c r="E182" i="2"/>
  <c r="D182" i="2"/>
  <c r="E174" i="2"/>
  <c r="D174" i="2"/>
  <c r="E166" i="2"/>
  <c r="D166" i="2"/>
  <c r="E158" i="2"/>
  <c r="D158" i="2"/>
  <c r="E150" i="2"/>
  <c r="D150" i="2"/>
  <c r="E142" i="2"/>
  <c r="D142" i="2"/>
  <c r="E134" i="2"/>
  <c r="D134" i="2"/>
  <c r="E126" i="2"/>
  <c r="D126" i="2"/>
  <c r="E118" i="2"/>
  <c r="D118" i="2"/>
  <c r="E66" i="2"/>
  <c r="E58" i="2"/>
  <c r="E50" i="2"/>
  <c r="E22" i="2"/>
  <c r="D22" i="2"/>
  <c r="E491" i="2"/>
  <c r="D491" i="2"/>
  <c r="E471" i="2"/>
  <c r="D471" i="2"/>
  <c r="E455" i="2"/>
  <c r="D455" i="2"/>
  <c r="E439" i="2"/>
  <c r="D439" i="2"/>
  <c r="E419" i="2"/>
  <c r="D419" i="2"/>
  <c r="E403" i="2"/>
  <c r="D403" i="2"/>
  <c r="E391" i="2"/>
  <c r="D391" i="2"/>
  <c r="E363" i="2"/>
  <c r="D363" i="2"/>
  <c r="E351" i="2"/>
  <c r="D351" i="2"/>
  <c r="E335" i="2"/>
  <c r="D335" i="2"/>
  <c r="E319" i="2"/>
  <c r="D319" i="2"/>
  <c r="E303" i="2"/>
  <c r="D303" i="2"/>
  <c r="E287" i="2"/>
  <c r="D287" i="2"/>
  <c r="E271" i="2"/>
  <c r="D271" i="2"/>
  <c r="E255" i="2"/>
  <c r="D255" i="2"/>
  <c r="E239" i="2"/>
  <c r="D239" i="2"/>
  <c r="E219" i="2"/>
  <c r="D219" i="2"/>
  <c r="E203" i="2"/>
  <c r="D203" i="2"/>
  <c r="E183" i="2"/>
  <c r="D183" i="2"/>
  <c r="E163" i="2"/>
  <c r="D163" i="2"/>
  <c r="E147" i="2"/>
  <c r="D147" i="2"/>
  <c r="E127" i="2"/>
  <c r="D127" i="2"/>
  <c r="E115" i="2"/>
  <c r="D115" i="2"/>
  <c r="E99" i="2"/>
  <c r="D99" i="2"/>
  <c r="E83" i="2"/>
  <c r="D83" i="2"/>
  <c r="E63" i="2"/>
  <c r="D63" i="2"/>
  <c r="E51" i="2"/>
  <c r="D51" i="2"/>
  <c r="E35" i="2"/>
  <c r="D35" i="2"/>
  <c r="E15" i="2"/>
  <c r="D15" i="2"/>
  <c r="E2" i="2"/>
  <c r="E482" i="2"/>
  <c r="D482" i="2"/>
  <c r="E470" i="2"/>
  <c r="D470" i="2"/>
  <c r="E450" i="2"/>
  <c r="D450" i="2"/>
  <c r="E438" i="2"/>
  <c r="D438" i="2"/>
  <c r="E402" i="2"/>
  <c r="D402" i="2"/>
  <c r="E382" i="2"/>
  <c r="D382" i="2"/>
  <c r="E374" i="2"/>
  <c r="D374" i="2"/>
  <c r="E350" i="2"/>
  <c r="D350" i="2"/>
  <c r="E322" i="2"/>
  <c r="E314" i="2"/>
  <c r="E302" i="2"/>
  <c r="D302" i="2"/>
  <c r="E294" i="2"/>
  <c r="D294" i="2"/>
  <c r="E286" i="2"/>
  <c r="D286" i="2"/>
  <c r="E274" i="2"/>
  <c r="D262" i="2"/>
  <c r="E254" i="2"/>
  <c r="D254" i="2"/>
  <c r="E246" i="2"/>
  <c r="D246" i="2"/>
  <c r="E238" i="2"/>
  <c r="D238" i="2"/>
  <c r="E230" i="2"/>
  <c r="D230" i="2"/>
  <c r="E222" i="2"/>
  <c r="D222" i="2"/>
  <c r="E214" i="2"/>
  <c r="D214" i="2"/>
  <c r="E202" i="2"/>
  <c r="E194" i="2"/>
  <c r="E186" i="2"/>
  <c r="E178" i="2"/>
  <c r="E130" i="2"/>
  <c r="E122" i="2"/>
  <c r="E114" i="2"/>
  <c r="E110" i="2"/>
  <c r="D110" i="2"/>
  <c r="E102" i="2"/>
  <c r="D102" i="2"/>
  <c r="E94" i="2"/>
  <c r="D94" i="2"/>
  <c r="E86" i="2"/>
  <c r="D86" i="2"/>
  <c r="E34" i="2"/>
  <c r="E30" i="2"/>
  <c r="D30" i="2"/>
  <c r="E14" i="2"/>
  <c r="D14" i="2"/>
  <c r="E10" i="2"/>
  <c r="D430" i="2"/>
  <c r="E282" i="2"/>
  <c r="E138" i="2"/>
  <c r="E477" i="2"/>
  <c r="D477" i="2"/>
  <c r="E465" i="2"/>
  <c r="D465" i="2"/>
  <c r="E449" i="2"/>
  <c r="D449" i="2"/>
  <c r="E433" i="2"/>
  <c r="D433" i="2"/>
  <c r="E417" i="2"/>
  <c r="D417" i="2"/>
  <c r="E413" i="2"/>
  <c r="D413" i="2"/>
  <c r="E401" i="2"/>
  <c r="D401" i="2"/>
  <c r="E397" i="2"/>
  <c r="D397" i="2"/>
  <c r="E389" i="2"/>
  <c r="D389" i="2"/>
  <c r="E381" i="2"/>
  <c r="D381" i="2"/>
  <c r="E373" i="2"/>
  <c r="D373" i="2"/>
  <c r="E365" i="2"/>
  <c r="D365" i="2"/>
  <c r="E357" i="2"/>
  <c r="D357" i="2"/>
  <c r="E349" i="2"/>
  <c r="D349" i="2"/>
  <c r="E341" i="2"/>
  <c r="D341" i="2"/>
  <c r="E333" i="2"/>
  <c r="D333" i="2"/>
  <c r="E317" i="2"/>
  <c r="D317" i="2"/>
  <c r="E309" i="2"/>
  <c r="D309" i="2"/>
  <c r="E301" i="2"/>
  <c r="D301" i="2"/>
  <c r="E293" i="2"/>
  <c r="D293" i="2"/>
  <c r="E285" i="2"/>
  <c r="D285" i="2"/>
  <c r="E277" i="2"/>
  <c r="D277" i="2"/>
  <c r="E269" i="2"/>
  <c r="D269" i="2"/>
  <c r="E253" i="2"/>
  <c r="D253" i="2"/>
  <c r="E245" i="2"/>
  <c r="D245" i="2"/>
  <c r="E237" i="2"/>
  <c r="D237" i="2"/>
  <c r="E229" i="2"/>
  <c r="D229" i="2"/>
  <c r="E221" i="2"/>
  <c r="D221" i="2"/>
  <c r="E213" i="2"/>
  <c r="D213" i="2"/>
  <c r="E205" i="2"/>
  <c r="D205" i="2"/>
  <c r="E189" i="2"/>
  <c r="D189" i="2"/>
  <c r="E181" i="2"/>
  <c r="D181" i="2"/>
  <c r="E165" i="2"/>
  <c r="D165" i="2"/>
  <c r="D157" i="2"/>
  <c r="E157" i="2"/>
  <c r="E149" i="2"/>
  <c r="D149" i="2"/>
  <c r="E133" i="2"/>
  <c r="D133" i="2"/>
  <c r="D125" i="2"/>
  <c r="E125" i="2"/>
  <c r="E117" i="2"/>
  <c r="D117" i="2"/>
  <c r="E101" i="2"/>
  <c r="D101" i="2"/>
  <c r="D93" i="2"/>
  <c r="E93" i="2"/>
  <c r="E85" i="2"/>
  <c r="D85" i="2"/>
  <c r="E69" i="2"/>
  <c r="D69" i="2"/>
  <c r="D61" i="2"/>
  <c r="E61" i="2"/>
  <c r="E53" i="2"/>
  <c r="D53" i="2"/>
  <c r="E37" i="2"/>
  <c r="D37" i="2"/>
  <c r="D29" i="2"/>
  <c r="E29" i="2"/>
  <c r="E21" i="2"/>
  <c r="D21" i="2"/>
  <c r="E13" i="2"/>
  <c r="D13" i="2"/>
  <c r="E5" i="2"/>
  <c r="D5" i="2"/>
  <c r="D498" i="2"/>
  <c r="D490" i="2"/>
  <c r="D480" i="2"/>
  <c r="D469" i="2"/>
  <c r="D448" i="2"/>
  <c r="D437" i="2"/>
  <c r="D416" i="2"/>
  <c r="D405" i="2"/>
  <c r="D378" i="2"/>
  <c r="D346" i="2"/>
  <c r="D330" i="2"/>
  <c r="D314" i="2"/>
  <c r="D282" i="2"/>
  <c r="D266" i="2"/>
  <c r="D218" i="2"/>
  <c r="D202" i="2"/>
  <c r="D186" i="2"/>
  <c r="D170" i="2"/>
  <c r="D138" i="2"/>
  <c r="D122" i="2"/>
  <c r="D106" i="2"/>
  <c r="D74" i="2"/>
  <c r="D58" i="2"/>
  <c r="D42" i="2"/>
  <c r="D10" i="2"/>
  <c r="E262" i="2"/>
  <c r="E220" i="2"/>
  <c r="E173" i="2"/>
  <c r="E109" i="2"/>
  <c r="E45" i="2"/>
  <c r="D483" i="2"/>
  <c r="E483" i="2"/>
  <c r="E467" i="2"/>
  <c r="D467" i="2"/>
  <c r="E451" i="2"/>
  <c r="D451" i="2"/>
  <c r="E435" i="2"/>
  <c r="D435" i="2"/>
  <c r="E423" i="2"/>
  <c r="D423" i="2"/>
  <c r="E407" i="2"/>
  <c r="D407" i="2"/>
  <c r="E387" i="2"/>
  <c r="D387" i="2"/>
  <c r="E367" i="2"/>
  <c r="D367" i="2"/>
  <c r="E347" i="2"/>
  <c r="D347" i="2"/>
  <c r="E331" i="2"/>
  <c r="D331" i="2"/>
  <c r="E315" i="2"/>
  <c r="D315" i="2"/>
  <c r="E299" i="2"/>
  <c r="D299" i="2"/>
  <c r="E283" i="2"/>
  <c r="D283" i="2"/>
  <c r="E267" i="2"/>
  <c r="D267" i="2"/>
  <c r="E251" i="2"/>
  <c r="D251" i="2"/>
  <c r="E235" i="2"/>
  <c r="D235" i="2"/>
  <c r="E215" i="2"/>
  <c r="D215" i="2"/>
  <c r="E199" i="2"/>
  <c r="D199" i="2"/>
  <c r="E179" i="2"/>
  <c r="D179" i="2"/>
  <c r="E167" i="2"/>
  <c r="D167" i="2"/>
  <c r="E151" i="2"/>
  <c r="D151" i="2"/>
  <c r="E131" i="2"/>
  <c r="D131" i="2"/>
  <c r="E111" i="2"/>
  <c r="D111" i="2"/>
  <c r="E95" i="2"/>
  <c r="D95" i="2"/>
  <c r="E79" i="2"/>
  <c r="D79" i="2"/>
  <c r="E67" i="2"/>
  <c r="D67" i="2"/>
  <c r="E47" i="2"/>
  <c r="D47" i="2"/>
  <c r="E31" i="2"/>
  <c r="D31" i="2"/>
  <c r="E19" i="2"/>
  <c r="D19" i="2"/>
  <c r="E466" i="2"/>
  <c r="D466" i="2"/>
  <c r="E454" i="2"/>
  <c r="D454" i="2"/>
  <c r="E434" i="2"/>
  <c r="D434" i="2"/>
  <c r="E422" i="2"/>
  <c r="D422" i="2"/>
  <c r="E390" i="2"/>
  <c r="D390" i="2"/>
  <c r="E366" i="2"/>
  <c r="D366" i="2"/>
  <c r="E318" i="2"/>
  <c r="D318" i="2"/>
  <c r="E310" i="2"/>
  <c r="D310" i="2"/>
  <c r="E306" i="2"/>
  <c r="E298" i="2"/>
  <c r="E290" i="2"/>
  <c r="E278" i="2"/>
  <c r="D278" i="2"/>
  <c r="E270" i="2"/>
  <c r="D270" i="2"/>
  <c r="E258" i="2"/>
  <c r="E250" i="2"/>
  <c r="E242" i="2"/>
  <c r="E234" i="2"/>
  <c r="E226" i="2"/>
  <c r="E210" i="2"/>
  <c r="E162" i="2"/>
  <c r="E154" i="2"/>
  <c r="E146" i="2"/>
  <c r="E98" i="2"/>
  <c r="E90" i="2"/>
  <c r="E82" i="2"/>
  <c r="E78" i="2"/>
  <c r="D78" i="2"/>
  <c r="E70" i="2"/>
  <c r="D70" i="2"/>
  <c r="E62" i="2"/>
  <c r="D62" i="2"/>
  <c r="E54" i="2"/>
  <c r="D54" i="2"/>
  <c r="E46" i="2"/>
  <c r="D46" i="2"/>
  <c r="E38" i="2"/>
  <c r="D38" i="2"/>
  <c r="E26" i="2"/>
  <c r="E18" i="2"/>
  <c r="E6" i="2"/>
  <c r="D6" i="2"/>
  <c r="D462" i="2"/>
  <c r="D398" i="2"/>
  <c r="E74" i="2"/>
  <c r="D481" i="2"/>
  <c r="E481" i="2"/>
  <c r="E461" i="2"/>
  <c r="D461" i="2"/>
  <c r="E445" i="2"/>
  <c r="D445" i="2"/>
  <c r="E429" i="2"/>
  <c r="D429" i="2"/>
  <c r="E500" i="2"/>
  <c r="D500" i="2"/>
  <c r="E496" i="2"/>
  <c r="D496" i="2"/>
  <c r="E492" i="2"/>
  <c r="D492" i="2"/>
  <c r="E488" i="2"/>
  <c r="D488" i="2"/>
  <c r="E476" i="2"/>
  <c r="D476" i="2"/>
  <c r="E472" i="2"/>
  <c r="D472" i="2"/>
  <c r="E460" i="2"/>
  <c r="D460" i="2"/>
  <c r="E456" i="2"/>
  <c r="D456" i="2"/>
  <c r="E444" i="2"/>
  <c r="D444" i="2"/>
  <c r="E440" i="2"/>
  <c r="D440" i="2"/>
  <c r="E428" i="2"/>
  <c r="D428" i="2"/>
  <c r="E424" i="2"/>
  <c r="D424" i="2"/>
  <c r="E412" i="2"/>
  <c r="D412" i="2"/>
  <c r="E408" i="2"/>
  <c r="D408" i="2"/>
  <c r="E396" i="2"/>
  <c r="D396" i="2"/>
  <c r="E392" i="2"/>
  <c r="D392" i="2"/>
  <c r="E388" i="2"/>
  <c r="D388" i="2"/>
  <c r="E384" i="2"/>
  <c r="D384" i="2"/>
  <c r="E380" i="2"/>
  <c r="D380" i="2"/>
  <c r="E376" i="2"/>
  <c r="D376" i="2"/>
  <c r="E372" i="2"/>
  <c r="D372" i="2"/>
  <c r="E368" i="2"/>
  <c r="D368" i="2"/>
  <c r="E364" i="2"/>
  <c r="D364" i="2"/>
  <c r="E360" i="2"/>
  <c r="D360" i="2"/>
  <c r="E356" i="2"/>
  <c r="D356" i="2"/>
  <c r="E352" i="2"/>
  <c r="D352" i="2"/>
  <c r="E348" i="2"/>
  <c r="D348" i="2"/>
  <c r="E344" i="2"/>
  <c r="D344" i="2"/>
  <c r="E340" i="2"/>
  <c r="D340" i="2"/>
  <c r="D336" i="2"/>
  <c r="E336" i="2"/>
  <c r="E332" i="2"/>
  <c r="D332" i="2"/>
  <c r="E328" i="2"/>
  <c r="D328" i="2"/>
  <c r="E324" i="2"/>
  <c r="D324" i="2"/>
  <c r="E320" i="2"/>
  <c r="D320" i="2"/>
  <c r="D316" i="2"/>
  <c r="E316" i="2"/>
  <c r="E312" i="2"/>
  <c r="D312" i="2"/>
  <c r="E308" i="2"/>
  <c r="D308" i="2"/>
  <c r="E300" i="2"/>
  <c r="D300" i="2"/>
  <c r="E296" i="2"/>
  <c r="D296" i="2"/>
  <c r="E292" i="2"/>
  <c r="D292" i="2"/>
  <c r="E288" i="2"/>
  <c r="D288" i="2"/>
  <c r="E280" i="2"/>
  <c r="D280" i="2"/>
  <c r="E276" i="2"/>
  <c r="D276" i="2"/>
  <c r="D272" i="2"/>
  <c r="E272" i="2"/>
  <c r="E268" i="2"/>
  <c r="D268" i="2"/>
  <c r="E264" i="2"/>
  <c r="D264" i="2"/>
  <c r="E260" i="2"/>
  <c r="D260" i="2"/>
  <c r="E256" i="2"/>
  <c r="D256" i="2"/>
  <c r="D252" i="2"/>
  <c r="E252" i="2"/>
  <c r="E248" i="2"/>
  <c r="D248" i="2"/>
  <c r="E244" i="2"/>
  <c r="D244" i="2"/>
  <c r="E236" i="2"/>
  <c r="D236" i="2"/>
  <c r="E232" i="2"/>
  <c r="D232" i="2"/>
  <c r="E228" i="2"/>
  <c r="D228" i="2"/>
  <c r="E224" i="2"/>
  <c r="D224" i="2"/>
  <c r="E216" i="2"/>
  <c r="D216" i="2"/>
  <c r="E212" i="2"/>
  <c r="D212" i="2"/>
  <c r="D208" i="2"/>
  <c r="E208" i="2"/>
  <c r="E204" i="2"/>
  <c r="D204" i="2"/>
  <c r="E200" i="2"/>
  <c r="D200" i="2"/>
  <c r="E196" i="2"/>
  <c r="D196" i="2"/>
  <c r="E192" i="2"/>
  <c r="D192" i="2"/>
  <c r="D188" i="2"/>
  <c r="E188" i="2"/>
  <c r="E184" i="2"/>
  <c r="D184" i="2"/>
  <c r="E180" i="2"/>
  <c r="D180" i="2"/>
  <c r="E176" i="2"/>
  <c r="D176" i="2"/>
  <c r="E172" i="2"/>
  <c r="D172" i="2"/>
  <c r="E168" i="2"/>
  <c r="D168" i="2"/>
  <c r="E164" i="2"/>
  <c r="D164" i="2"/>
  <c r="E160" i="2"/>
  <c r="D160" i="2"/>
  <c r="E156" i="2"/>
  <c r="D156" i="2"/>
  <c r="E152" i="2"/>
  <c r="D152" i="2"/>
  <c r="E148" i="2"/>
  <c r="D148" i="2"/>
  <c r="E144" i="2"/>
  <c r="D144" i="2"/>
  <c r="E140" i="2"/>
  <c r="D140" i="2"/>
  <c r="E136" i="2"/>
  <c r="D136" i="2"/>
  <c r="E132" i="2"/>
  <c r="D132" i="2"/>
  <c r="E128" i="2"/>
  <c r="D128" i="2"/>
  <c r="E124" i="2"/>
  <c r="D124" i="2"/>
  <c r="E120" i="2"/>
  <c r="D120" i="2"/>
  <c r="E116" i="2"/>
  <c r="D116" i="2"/>
  <c r="E112" i="2"/>
  <c r="D112" i="2"/>
  <c r="E108" i="2"/>
  <c r="D108" i="2"/>
  <c r="E104" i="2"/>
  <c r="D104" i="2"/>
  <c r="E100" i="2"/>
  <c r="D100" i="2"/>
  <c r="E96" i="2"/>
  <c r="D96" i="2"/>
  <c r="E92" i="2"/>
  <c r="D92" i="2"/>
  <c r="E88" i="2"/>
  <c r="D88" i="2"/>
  <c r="E84" i="2"/>
  <c r="D84" i="2"/>
  <c r="E80" i="2"/>
  <c r="D80" i="2"/>
  <c r="E76" i="2"/>
  <c r="D76" i="2"/>
  <c r="E72" i="2"/>
  <c r="D72" i="2"/>
  <c r="E68" i="2"/>
  <c r="D68" i="2"/>
  <c r="E64" i="2"/>
  <c r="D64" i="2"/>
  <c r="E60" i="2"/>
  <c r="D60" i="2"/>
  <c r="E56" i="2"/>
  <c r="D56" i="2"/>
  <c r="E52" i="2"/>
  <c r="D52" i="2"/>
  <c r="E48" i="2"/>
  <c r="D48" i="2"/>
  <c r="E44" i="2"/>
  <c r="D44" i="2"/>
  <c r="E40" i="2"/>
  <c r="D40" i="2"/>
  <c r="E36" i="2"/>
  <c r="D36" i="2"/>
  <c r="E32" i="2"/>
  <c r="D32" i="2"/>
  <c r="E28" i="2"/>
  <c r="D28" i="2"/>
  <c r="E24" i="2"/>
  <c r="D24" i="2"/>
  <c r="E20" i="2"/>
  <c r="D20" i="2"/>
  <c r="E16" i="2"/>
  <c r="D16" i="2"/>
  <c r="E12" i="2"/>
  <c r="D12" i="2"/>
  <c r="E8" i="2"/>
  <c r="D8" i="2"/>
  <c r="E4" i="2"/>
  <c r="D4" i="2"/>
  <c r="D497" i="2"/>
  <c r="D489" i="2"/>
  <c r="D478" i="2"/>
  <c r="D468" i="2"/>
  <c r="D446" i="2"/>
  <c r="D436" i="2"/>
  <c r="D414" i="2"/>
  <c r="D404" i="2"/>
  <c r="D377" i="2"/>
  <c r="D345" i="2"/>
  <c r="D329" i="2"/>
  <c r="D313" i="2"/>
  <c r="D297" i="2"/>
  <c r="D281" i="2"/>
  <c r="D265" i="2"/>
  <c r="D249" i="2"/>
  <c r="D233" i="2"/>
  <c r="D217" i="2"/>
  <c r="D201" i="2"/>
  <c r="D185" i="2"/>
  <c r="D169" i="2"/>
  <c r="D153" i="2"/>
  <c r="D137" i="2"/>
  <c r="D121" i="2"/>
  <c r="D105" i="2"/>
  <c r="D89" i="2"/>
  <c r="D73" i="2"/>
  <c r="D57" i="2"/>
  <c r="D41" i="2"/>
  <c r="D25" i="2"/>
  <c r="D9" i="2"/>
  <c r="E304" i="2"/>
  <c r="E261" i="2"/>
  <c r="E218" i="2"/>
  <c r="E170" i="2"/>
  <c r="E106" i="2"/>
  <c r="E42" i="2"/>
  <c r="E34" i="3" l="1"/>
  <c r="E33" i="3"/>
  <c r="N31" i="3"/>
  <c r="M31" i="3"/>
  <c r="L31" i="3"/>
  <c r="K31" i="3"/>
  <c r="I31" i="3"/>
  <c r="J31" i="3"/>
  <c r="H31" i="3"/>
  <c r="G31" i="3"/>
  <c r="F31" i="3"/>
  <c r="E31" i="3"/>
  <c r="D31" i="3"/>
  <c r="J34" i="3"/>
  <c r="H34" i="3"/>
  <c r="G34" i="3"/>
  <c r="F34" i="3"/>
  <c r="D34" i="3"/>
  <c r="N34" i="3"/>
  <c r="M34" i="3"/>
  <c r="L34" i="3"/>
  <c r="K34" i="3"/>
  <c r="I34" i="3"/>
  <c r="N32" i="3"/>
  <c r="M32" i="3"/>
  <c r="L32" i="3"/>
  <c r="K32" i="3"/>
  <c r="I32" i="3"/>
  <c r="D32" i="3"/>
  <c r="J32" i="3"/>
  <c r="H32" i="3"/>
  <c r="G32" i="3"/>
  <c r="F32" i="3"/>
  <c r="E32" i="3"/>
  <c r="H30" i="3"/>
  <c r="F30" i="3"/>
  <c r="K30" i="3"/>
  <c r="E30" i="3"/>
  <c r="C32" i="3"/>
  <c r="G30" i="3"/>
  <c r="L30" i="3"/>
  <c r="C33" i="3"/>
  <c r="C34" i="3"/>
  <c r="J30" i="3"/>
  <c r="I30" i="3"/>
  <c r="M30" i="3"/>
  <c r="C30" i="3"/>
  <c r="N30" i="3"/>
  <c r="C31" i="3"/>
  <c r="D33" i="3"/>
  <c r="N33" i="3"/>
  <c r="M33" i="3"/>
  <c r="L33" i="3"/>
  <c r="K33" i="3"/>
  <c r="I33" i="3"/>
  <c r="J33" i="3"/>
  <c r="H33" i="3"/>
  <c r="G33" i="3"/>
  <c r="F33" i="3"/>
  <c r="O34" i="3" l="1"/>
  <c r="O32" i="3"/>
  <c r="O31" i="3"/>
  <c r="O30" i="3"/>
  <c r="O33" i="3"/>
</calcChain>
</file>

<file path=xl/sharedStrings.xml><?xml version="1.0" encoding="utf-8"?>
<sst xmlns="http://schemas.openxmlformats.org/spreadsheetml/2006/main" count="9223" uniqueCount="912">
  <si>
    <t>Order ID</t>
  </si>
  <si>
    <t>Date</t>
  </si>
  <si>
    <t>Salesperson</t>
  </si>
  <si>
    <t>Region</t>
  </si>
  <si>
    <t>Category</t>
  </si>
  <si>
    <t>Product Name</t>
  </si>
  <si>
    <t>Units Sold</t>
  </si>
  <si>
    <t>Unit Price (PKR)</t>
  </si>
  <si>
    <t>Discount %</t>
  </si>
  <si>
    <t>Total Revenue (PKR)</t>
  </si>
  <si>
    <t>Cost Price (Unit)</t>
  </si>
  <si>
    <t>Total Cost (PKR)</t>
  </si>
  <si>
    <t>Profit (PKR)</t>
  </si>
  <si>
    <t>Customer Type</t>
  </si>
  <si>
    <t>Payment Method</t>
  </si>
  <si>
    <t>Delivery Status</t>
  </si>
  <si>
    <t>ORD-1001</t>
  </si>
  <si>
    <t>2024-11-23</t>
  </si>
  <si>
    <t>Sara Khan</t>
  </si>
  <si>
    <t>Karachi</t>
  </si>
  <si>
    <t>Home Appliances</t>
  </si>
  <si>
    <t>Iron</t>
  </si>
  <si>
    <t>New</t>
  </si>
  <si>
    <t>Bank Transfer</t>
  </si>
  <si>
    <t>Pending</t>
  </si>
  <si>
    <t>ORD-1002</t>
  </si>
  <si>
    <t>2024-10-06</t>
  </si>
  <si>
    <t>Faisalabad</t>
  </si>
  <si>
    <t>Electronics</t>
  </si>
  <si>
    <t>Mobile Phone</t>
  </si>
  <si>
    <t>EasyPaisa</t>
  </si>
  <si>
    <t>ORD-1003</t>
  </si>
  <si>
    <t>2024-10-14</t>
  </si>
  <si>
    <t>Fatima Malik</t>
  </si>
  <si>
    <t>Clothing</t>
  </si>
  <si>
    <t>Jacket</t>
  </si>
  <si>
    <t>Credit Card</t>
  </si>
  <si>
    <t>ORD-1004</t>
  </si>
  <si>
    <t>2024-06-23</t>
  </si>
  <si>
    <t>Usman Raza</t>
  </si>
  <si>
    <t>Islamabad</t>
  </si>
  <si>
    <t>Jeans</t>
  </si>
  <si>
    <t>Returning</t>
  </si>
  <si>
    <t>Cash</t>
  </si>
  <si>
    <t>Delivered</t>
  </si>
  <si>
    <t>ORD-1005</t>
  </si>
  <si>
    <t>2024-06-25</t>
  </si>
  <si>
    <t>Nadia Iqbal</t>
  </si>
  <si>
    <t>Quetta</t>
  </si>
  <si>
    <t>Headphones</t>
  </si>
  <si>
    <t>ORD-1006</t>
  </si>
  <si>
    <t>2024-11-17</t>
  </si>
  <si>
    <t>Multan</t>
  </si>
  <si>
    <t>Sports</t>
  </si>
  <si>
    <t>Football</t>
  </si>
  <si>
    <t>Debit Card</t>
  </si>
  <si>
    <t>Returned</t>
  </si>
  <si>
    <t>ORD-1007</t>
  </si>
  <si>
    <t>2024-04-29</t>
  </si>
  <si>
    <t>Air Fryer</t>
  </si>
  <si>
    <t>ORD-1008</t>
  </si>
  <si>
    <t>2024-05-16</t>
  </si>
  <si>
    <t>ORD-1009</t>
  </si>
  <si>
    <t>Kamran Sheikh</t>
  </si>
  <si>
    <t>Peshawar</t>
  </si>
  <si>
    <t>Microwave</t>
  </si>
  <si>
    <t>JazzCash</t>
  </si>
  <si>
    <t>ORD-1010</t>
  </si>
  <si>
    <t>2024-04-18</t>
  </si>
  <si>
    <t>ORD-1011</t>
  </si>
  <si>
    <t>2024-05-06</t>
  </si>
  <si>
    <t>Dumbbells Set</t>
  </si>
  <si>
    <t>ORD-1012</t>
  </si>
  <si>
    <t>2024-03-11</t>
  </si>
  <si>
    <t>Rawalpindi</t>
  </si>
  <si>
    <t>ORD-1013</t>
  </si>
  <si>
    <t>2024-02-02</t>
  </si>
  <si>
    <t>Hassan Mirza</t>
  </si>
  <si>
    <t>ORD-1014</t>
  </si>
  <si>
    <t>2024-12-15</t>
  </si>
  <si>
    <t>ORD-1015</t>
  </si>
  <si>
    <t>2024-05-14</t>
  </si>
  <si>
    <t>Cricket Bat</t>
  </si>
  <si>
    <t>ORD-1016</t>
  </si>
  <si>
    <t>2024-03-23</t>
  </si>
  <si>
    <t>Yoga Mat</t>
  </si>
  <si>
    <t>Shipped</t>
  </si>
  <si>
    <t>ORD-1017</t>
  </si>
  <si>
    <t>2024-06-06</t>
  </si>
  <si>
    <t>Shoes</t>
  </si>
  <si>
    <t>ORD-1018</t>
  </si>
  <si>
    <t>2024-09-29</t>
  </si>
  <si>
    <t>Bilal Hussain</t>
  </si>
  <si>
    <t>Groceries</t>
  </si>
  <si>
    <t>Flour 10kg</t>
  </si>
  <si>
    <t>Cancelled</t>
  </si>
  <si>
    <t>ORD-1019</t>
  </si>
  <si>
    <t>2024-12-19</t>
  </si>
  <si>
    <t>Sugar 2kg</t>
  </si>
  <si>
    <t>ORD-1020</t>
  </si>
  <si>
    <t>Ayesha Siddiqui</t>
  </si>
  <si>
    <t>Cycling Gloves</t>
  </si>
  <si>
    <t>ORD-1021</t>
  </si>
  <si>
    <t>2024-11-19</t>
  </si>
  <si>
    <t>Ahmed Ali</t>
  </si>
  <si>
    <t>ORD-1022</t>
  </si>
  <si>
    <t>2024-04-19</t>
  </si>
  <si>
    <t>ORD-1023</t>
  </si>
  <si>
    <t>2024-02-19</t>
  </si>
  <si>
    <t>Tea 500g</t>
  </si>
  <si>
    <t>ORD-1024</t>
  </si>
  <si>
    <t>2024-11-26</t>
  </si>
  <si>
    <t>ORD-1025</t>
  </si>
  <si>
    <t>2024-03-12</t>
  </si>
  <si>
    <t>ORD-1026</t>
  </si>
  <si>
    <t>2024-11-29</t>
  </si>
  <si>
    <t>Laptop</t>
  </si>
  <si>
    <t>ORD-1027</t>
  </si>
  <si>
    <t>2024-07-24</t>
  </si>
  <si>
    <t>Rice 5kg</t>
  </si>
  <si>
    <t>ORD-1028</t>
  </si>
  <si>
    <t>2024-10-11</t>
  </si>
  <si>
    <t>Zara Butt</t>
  </si>
  <si>
    <t>ORD-1029</t>
  </si>
  <si>
    <t>2024-01-26</t>
  </si>
  <si>
    <t>ORD-1030</t>
  </si>
  <si>
    <t>2024-02-04</t>
  </si>
  <si>
    <t>Smartwatch</t>
  </si>
  <si>
    <t>ORD-1031</t>
  </si>
  <si>
    <t>2024-12-02</t>
  </si>
  <si>
    <t>ORD-1032</t>
  </si>
  <si>
    <t>ORD-1033</t>
  </si>
  <si>
    <t>2024-09-16</t>
  </si>
  <si>
    <t>ORD-1034</t>
  </si>
  <si>
    <t>2024-10-05</t>
  </si>
  <si>
    <t>ORD-1035</t>
  </si>
  <si>
    <t>2024-10-10</t>
  </si>
  <si>
    <t>Vacuum Cleaner</t>
  </si>
  <si>
    <t>ORD-1036</t>
  </si>
  <si>
    <t>2024-05-15</t>
  </si>
  <si>
    <t>ORD-1037</t>
  </si>
  <si>
    <t>2024-06-19</t>
  </si>
  <si>
    <t>ORD-1038</t>
  </si>
  <si>
    <t>2024-02-08</t>
  </si>
  <si>
    <t>ORD-1039</t>
  </si>
  <si>
    <t>2024-07-05</t>
  </si>
  <si>
    <t>Women's Dress</t>
  </si>
  <si>
    <t>ORD-1040</t>
  </si>
  <si>
    <t>2024-05-01</t>
  </si>
  <si>
    <t>ORD-1041</t>
  </si>
  <si>
    <t>2024-05-07</t>
  </si>
  <si>
    <t>ORD-1042</t>
  </si>
  <si>
    <t>2024-08-23</t>
  </si>
  <si>
    <t>ORD-1043</t>
  </si>
  <si>
    <t>2024-02-05</t>
  </si>
  <si>
    <t>ORD-1044</t>
  </si>
  <si>
    <t>2024-05-13</t>
  </si>
  <si>
    <t>ORD-1045</t>
  </si>
  <si>
    <t>2024-08-11</t>
  </si>
  <si>
    <t>Lahore</t>
  </si>
  <si>
    <t>ORD-1046</t>
  </si>
  <si>
    <t>2024-09-23</t>
  </si>
  <si>
    <t>ORD-1047</t>
  </si>
  <si>
    <t>2024-03-04</t>
  </si>
  <si>
    <t>ORD-1048</t>
  </si>
  <si>
    <t>2024-08-03</t>
  </si>
  <si>
    <t>ORD-1049</t>
  </si>
  <si>
    <t>2024-08-08</t>
  </si>
  <si>
    <t>ORD-1050</t>
  </si>
  <si>
    <t>2024-03-27</t>
  </si>
  <si>
    <t>ORD-1051</t>
  </si>
  <si>
    <t>2024-04-11</t>
  </si>
  <si>
    <t>ORD-1052</t>
  </si>
  <si>
    <t>2024-11-18</t>
  </si>
  <si>
    <t>ORD-1053</t>
  </si>
  <si>
    <t>2024-02-24</t>
  </si>
  <si>
    <t>ORD-1054</t>
  </si>
  <si>
    <t>2024-08-25</t>
  </si>
  <si>
    <t>ORD-1055</t>
  </si>
  <si>
    <t>2024-08-31</t>
  </si>
  <si>
    <t>ORD-1056</t>
  </si>
  <si>
    <t>2024-05-26</t>
  </si>
  <si>
    <t>Blender</t>
  </si>
  <si>
    <t>ORD-1057</t>
  </si>
  <si>
    <t>2024-12-21</t>
  </si>
  <si>
    <t>ORD-1058</t>
  </si>
  <si>
    <t>ORD-1059</t>
  </si>
  <si>
    <t>2024-08-02</t>
  </si>
  <si>
    <t>Cooking Oil 5L</t>
  </si>
  <si>
    <t>ORD-1060</t>
  </si>
  <si>
    <t>2024-12-08</t>
  </si>
  <si>
    <t>ORD-1061</t>
  </si>
  <si>
    <t>2024-12-05</t>
  </si>
  <si>
    <t>ORD-1062</t>
  </si>
  <si>
    <t>ORD-1063</t>
  </si>
  <si>
    <t>2024-10-03</t>
  </si>
  <si>
    <t>Men's Shirt</t>
  </si>
  <si>
    <t>ORD-1064</t>
  </si>
  <si>
    <t>2024-11-14</t>
  </si>
  <si>
    <t>ORD-1065</t>
  </si>
  <si>
    <t>2024-07-07</t>
  </si>
  <si>
    <t>ORD-1066</t>
  </si>
  <si>
    <t>2024-07-11</t>
  </si>
  <si>
    <t>ORD-1067</t>
  </si>
  <si>
    <t>2024-03-02</t>
  </si>
  <si>
    <t>ORD-1068</t>
  </si>
  <si>
    <t>ORD-1069</t>
  </si>
  <si>
    <t>2024-03-31</t>
  </si>
  <si>
    <t>ORD-1070</t>
  </si>
  <si>
    <t>2024-06-14</t>
  </si>
  <si>
    <t>ORD-1071</t>
  </si>
  <si>
    <t>2024-06-15</t>
  </si>
  <si>
    <t>ORD-1072</t>
  </si>
  <si>
    <t>2024-05-21</t>
  </si>
  <si>
    <t>ORD-1073</t>
  </si>
  <si>
    <t>2024-05-03</t>
  </si>
  <si>
    <t>ORD-1074</t>
  </si>
  <si>
    <t>2024-06-05</t>
  </si>
  <si>
    <t>ORD-1075</t>
  </si>
  <si>
    <t>2024-06-29</t>
  </si>
  <si>
    <t>ORD-1076</t>
  </si>
  <si>
    <t>2024-10-01</t>
  </si>
  <si>
    <t>ORD-1077</t>
  </si>
  <si>
    <t>2024-05-31</t>
  </si>
  <si>
    <t>ORD-1078</t>
  </si>
  <si>
    <t>2024-01-28</t>
  </si>
  <si>
    <t>ORD-1079</t>
  </si>
  <si>
    <t>ORD-1080</t>
  </si>
  <si>
    <t>ORD-1081</t>
  </si>
  <si>
    <t>2024-08-01</t>
  </si>
  <si>
    <t>ORD-1082</t>
  </si>
  <si>
    <t>ORD-1083</t>
  </si>
  <si>
    <t>2024-03-21</t>
  </si>
  <si>
    <t>ORD-1084</t>
  </si>
  <si>
    <t>2024-08-28</t>
  </si>
  <si>
    <t>ORD-1085</t>
  </si>
  <si>
    <t>ORD-1086</t>
  </si>
  <si>
    <t>2024-02-06</t>
  </si>
  <si>
    <t>ORD-1087</t>
  </si>
  <si>
    <t>2024-06-04</t>
  </si>
  <si>
    <t>ORD-1088</t>
  </si>
  <si>
    <t>2024-08-09</t>
  </si>
  <si>
    <t>ORD-1089</t>
  </si>
  <si>
    <t>2024-10-22</t>
  </si>
  <si>
    <t>ORD-1090</t>
  </si>
  <si>
    <t>2024-09-08</t>
  </si>
  <si>
    <t>ORD-1091</t>
  </si>
  <si>
    <t>ORD-1092</t>
  </si>
  <si>
    <t>2024-02-29</t>
  </si>
  <si>
    <t>ORD-1093</t>
  </si>
  <si>
    <t>2024-09-12</t>
  </si>
  <si>
    <t>ORD-1094</t>
  </si>
  <si>
    <t>2024-09-05</t>
  </si>
  <si>
    <t>ORD-1095</t>
  </si>
  <si>
    <t>2024-04-25</t>
  </si>
  <si>
    <t>ORD-1096</t>
  </si>
  <si>
    <t>2024-07-31</t>
  </si>
  <si>
    <t>ORD-1097</t>
  </si>
  <si>
    <t>2024-09-17</t>
  </si>
  <si>
    <t>ORD-1098</t>
  </si>
  <si>
    <t>2024-06-01</t>
  </si>
  <si>
    <t>ORD-1099</t>
  </si>
  <si>
    <t>ORD-1100</t>
  </si>
  <si>
    <t>2024-07-29</t>
  </si>
  <si>
    <t>ORD-1101</t>
  </si>
  <si>
    <t>2024-03-05</t>
  </si>
  <si>
    <t>ORD-1102</t>
  </si>
  <si>
    <t>2024-07-28</t>
  </si>
  <si>
    <t>ORD-1103</t>
  </si>
  <si>
    <t>2024-06-17</t>
  </si>
  <si>
    <t>ORD-1104</t>
  </si>
  <si>
    <t>2024-05-27</t>
  </si>
  <si>
    <t>ORD-1105</t>
  </si>
  <si>
    <t>2024-01-15</t>
  </si>
  <si>
    <t>Tablet</t>
  </si>
  <si>
    <t>ORD-1106</t>
  </si>
  <si>
    <t>ORD-1107</t>
  </si>
  <si>
    <t>2024-09-11</t>
  </si>
  <si>
    <t>ORD-1108</t>
  </si>
  <si>
    <t>2024-08-26</t>
  </si>
  <si>
    <t>ORD-1109</t>
  </si>
  <si>
    <t>ORD-1110</t>
  </si>
  <si>
    <t>2024-07-02</t>
  </si>
  <si>
    <t>ORD-1111</t>
  </si>
  <si>
    <t>ORD-1112</t>
  </si>
  <si>
    <t>2024-05-08</t>
  </si>
  <si>
    <t>ORD-1113</t>
  </si>
  <si>
    <t>ORD-1114</t>
  </si>
  <si>
    <t>2024-05-19</t>
  </si>
  <si>
    <t>ORD-1115</t>
  </si>
  <si>
    <t>ORD-1116</t>
  </si>
  <si>
    <t>2024-12-10</t>
  </si>
  <si>
    <t>ORD-1117</t>
  </si>
  <si>
    <t>ORD-1118</t>
  </si>
  <si>
    <t>2024-01-20</t>
  </si>
  <si>
    <t>ORD-1119</t>
  </si>
  <si>
    <t>2024-12-09</t>
  </si>
  <si>
    <t>ORD-1120</t>
  </si>
  <si>
    <t>2024-05-23</t>
  </si>
  <si>
    <t>ORD-1121</t>
  </si>
  <si>
    <t>ORD-1122</t>
  </si>
  <si>
    <t>ORD-1123</t>
  </si>
  <si>
    <t>ORD-1124</t>
  </si>
  <si>
    <t>2024-03-15</t>
  </si>
  <si>
    <t>ORD-1125</t>
  </si>
  <si>
    <t>ORD-1126</t>
  </si>
  <si>
    <t>2024-02-28</t>
  </si>
  <si>
    <t>ORD-1127</t>
  </si>
  <si>
    <t>2024-11-10</t>
  </si>
  <si>
    <t>ORD-1128</t>
  </si>
  <si>
    <t>ORD-1129</t>
  </si>
  <si>
    <t>2024-11-20</t>
  </si>
  <si>
    <t>ORD-1130</t>
  </si>
  <si>
    <t>2024-02-20</t>
  </si>
  <si>
    <t>ORD-1131</t>
  </si>
  <si>
    <t>2024-02-18</t>
  </si>
  <si>
    <t>ORD-1132</t>
  </si>
  <si>
    <t>2024-02-13</t>
  </si>
  <si>
    <t>ORD-1133</t>
  </si>
  <si>
    <t>ORD-1134</t>
  </si>
  <si>
    <t>ORD-1135</t>
  </si>
  <si>
    <t>2024-05-22</t>
  </si>
  <si>
    <t>ORD-1136</t>
  </si>
  <si>
    <t>ORD-1137</t>
  </si>
  <si>
    <t>2024-03-14</t>
  </si>
  <si>
    <t>ORD-1138</t>
  </si>
  <si>
    <t>ORD-1139</t>
  </si>
  <si>
    <t>2024-11-12</t>
  </si>
  <si>
    <t>ORD-1140</t>
  </si>
  <si>
    <t>2024-09-19</t>
  </si>
  <si>
    <t>ORD-1141</t>
  </si>
  <si>
    <t>2024-01-24</t>
  </si>
  <si>
    <t>ORD-1142</t>
  </si>
  <si>
    <t>2024-05-10</t>
  </si>
  <si>
    <t>ORD-1143</t>
  </si>
  <si>
    <t>ORD-1144</t>
  </si>
  <si>
    <t>2024-06-09</t>
  </si>
  <si>
    <t>ORD-1145</t>
  </si>
  <si>
    <t>ORD-1146</t>
  </si>
  <si>
    <t>2024-09-25</t>
  </si>
  <si>
    <t>ORD-1147</t>
  </si>
  <si>
    <t>ORD-1148</t>
  </si>
  <si>
    <t>2024-03-29</t>
  </si>
  <si>
    <t>ORD-1149</t>
  </si>
  <si>
    <t>2024-10-16</t>
  </si>
  <si>
    <t>ORD-1150</t>
  </si>
  <si>
    <t>2024-05-20</t>
  </si>
  <si>
    <t>ORD-1151</t>
  </si>
  <si>
    <t>ORD-1152</t>
  </si>
  <si>
    <t>2024-01-22</t>
  </si>
  <si>
    <t>ORD-1153</t>
  </si>
  <si>
    <t>2024-06-24</t>
  </si>
  <si>
    <t>ORD-1154</t>
  </si>
  <si>
    <t>2024-05-24</t>
  </si>
  <si>
    <t>ORD-1155</t>
  </si>
  <si>
    <t>2024-10-12</t>
  </si>
  <si>
    <t>ORD-1156</t>
  </si>
  <si>
    <t>2024-06-28</t>
  </si>
  <si>
    <t>ORD-1157</t>
  </si>
  <si>
    <t>2024-03-06</t>
  </si>
  <si>
    <t>ORD-1158</t>
  </si>
  <si>
    <t>ORD-1159</t>
  </si>
  <si>
    <t>2024-02-21</t>
  </si>
  <si>
    <t>ORD-1160</t>
  </si>
  <si>
    <t>2024-12-20</t>
  </si>
  <si>
    <t>ORD-1161</t>
  </si>
  <si>
    <t>2024-08-17</t>
  </si>
  <si>
    <t>ORD-1162</t>
  </si>
  <si>
    <t>2024-07-14</t>
  </si>
  <si>
    <t>ORD-1163</t>
  </si>
  <si>
    <t>2024-07-09</t>
  </si>
  <si>
    <t>ORD-1164</t>
  </si>
  <si>
    <t>ORD-1165</t>
  </si>
  <si>
    <t>2024-09-14</t>
  </si>
  <si>
    <t>ORD-1166</t>
  </si>
  <si>
    <t>2024-11-28</t>
  </si>
  <si>
    <t>ORD-1167</t>
  </si>
  <si>
    <t>2024-11-11</t>
  </si>
  <si>
    <t>ORD-1168</t>
  </si>
  <si>
    <t>ORD-1169</t>
  </si>
  <si>
    <t>ORD-1170</t>
  </si>
  <si>
    <t>ORD-1171</t>
  </si>
  <si>
    <t>ORD-1172</t>
  </si>
  <si>
    <t>2024-01-09</t>
  </si>
  <si>
    <t>ORD-1173</t>
  </si>
  <si>
    <t>ORD-1174</t>
  </si>
  <si>
    <t>2024-08-22</t>
  </si>
  <si>
    <t>ORD-1175</t>
  </si>
  <si>
    <t>ORD-1176</t>
  </si>
  <si>
    <t>ORD-1177</t>
  </si>
  <si>
    <t>ORD-1178</t>
  </si>
  <si>
    <t>2024-02-22</t>
  </si>
  <si>
    <t>ORD-1179</t>
  </si>
  <si>
    <t>ORD-1180</t>
  </si>
  <si>
    <t>2024-07-26</t>
  </si>
  <si>
    <t>ORD-1181</t>
  </si>
  <si>
    <t>2024-04-30</t>
  </si>
  <si>
    <t>ORD-1182</t>
  </si>
  <si>
    <t>2024-07-08</t>
  </si>
  <si>
    <t>ORD-1183</t>
  </si>
  <si>
    <t>ORD-1184</t>
  </si>
  <si>
    <t>ORD-1185</t>
  </si>
  <si>
    <t>2024-08-19</t>
  </si>
  <si>
    <t>ORD-1186</t>
  </si>
  <si>
    <t>2024-06-02</t>
  </si>
  <si>
    <t>ORD-1187</t>
  </si>
  <si>
    <t>2024-09-09</t>
  </si>
  <si>
    <t>ORD-1188</t>
  </si>
  <si>
    <t>2024-02-03</t>
  </si>
  <si>
    <t>ORD-1189</t>
  </si>
  <si>
    <t>2024-11-24</t>
  </si>
  <si>
    <t>ORD-1190</t>
  </si>
  <si>
    <t>2024-01-29</t>
  </si>
  <si>
    <t>ORD-1191</t>
  </si>
  <si>
    <t>2024-09-22</t>
  </si>
  <si>
    <t>ORD-1192</t>
  </si>
  <si>
    <t>2024-09-30</t>
  </si>
  <si>
    <t>ORD-1193</t>
  </si>
  <si>
    <t>ORD-1194</t>
  </si>
  <si>
    <t>ORD-1195</t>
  </si>
  <si>
    <t>2024-12-18</t>
  </si>
  <si>
    <t>ORD-1196</t>
  </si>
  <si>
    <t>ORD-1197</t>
  </si>
  <si>
    <t>2024-03-03</t>
  </si>
  <si>
    <t>ORD-1198</t>
  </si>
  <si>
    <t>ORD-1199</t>
  </si>
  <si>
    <t>2024-08-27</t>
  </si>
  <si>
    <t>ORD-1200</t>
  </si>
  <si>
    <t>ORD-1201</t>
  </si>
  <si>
    <t>2024-02-25</t>
  </si>
  <si>
    <t>ORD-1202</t>
  </si>
  <si>
    <t>ORD-1203</t>
  </si>
  <si>
    <t>2024-11-15</t>
  </si>
  <si>
    <t>ORD-1204</t>
  </si>
  <si>
    <t>ORD-1205</t>
  </si>
  <si>
    <t>2024-08-30</t>
  </si>
  <si>
    <t>ORD-1206</t>
  </si>
  <si>
    <t>2024-07-20</t>
  </si>
  <si>
    <t>ORD-1207</t>
  </si>
  <si>
    <t>ORD-1208</t>
  </si>
  <si>
    <t>ORD-1209</t>
  </si>
  <si>
    <t>ORD-1210</t>
  </si>
  <si>
    <t>ORD-1211</t>
  </si>
  <si>
    <t>2024-12-27</t>
  </si>
  <si>
    <t>ORD-1212</t>
  </si>
  <si>
    <t>ORD-1213</t>
  </si>
  <si>
    <t>ORD-1214</t>
  </si>
  <si>
    <t>2024-06-11</t>
  </si>
  <si>
    <t>ORD-1215</t>
  </si>
  <si>
    <t>ORD-1216</t>
  </si>
  <si>
    <t>2024-04-13</t>
  </si>
  <si>
    <t>ORD-1217</t>
  </si>
  <si>
    <t>2024-09-28</t>
  </si>
  <si>
    <t>ORD-1218</t>
  </si>
  <si>
    <t>ORD-1219</t>
  </si>
  <si>
    <t>ORD-1220</t>
  </si>
  <si>
    <t>ORD-1221</t>
  </si>
  <si>
    <t>ORD-1222</t>
  </si>
  <si>
    <t>2024-04-08</t>
  </si>
  <si>
    <t>ORD-1223</t>
  </si>
  <si>
    <t>ORD-1224</t>
  </si>
  <si>
    <t>ORD-1225</t>
  </si>
  <si>
    <t>ORD-1226</t>
  </si>
  <si>
    <t>2024-12-07</t>
  </si>
  <si>
    <t>ORD-1227</t>
  </si>
  <si>
    <t>ORD-1228</t>
  </si>
  <si>
    <t>2024-07-10</t>
  </si>
  <si>
    <t>ORD-1229</t>
  </si>
  <si>
    <t>2024-12-26</t>
  </si>
  <si>
    <t>ORD-1230</t>
  </si>
  <si>
    <t>2024-03-25</t>
  </si>
  <si>
    <t>ORD-1231</t>
  </si>
  <si>
    <t>ORD-1232</t>
  </si>
  <si>
    <t>ORD-1233</t>
  </si>
  <si>
    <t>2024-12-24</t>
  </si>
  <si>
    <t>ORD-1234</t>
  </si>
  <si>
    <t>ORD-1235</t>
  </si>
  <si>
    <t>ORD-1236</t>
  </si>
  <si>
    <t>2024-01-02</t>
  </si>
  <si>
    <t>ORD-1237</t>
  </si>
  <si>
    <t>2024-06-26</t>
  </si>
  <si>
    <t>ORD-1238</t>
  </si>
  <si>
    <t>ORD-1239</t>
  </si>
  <si>
    <t>2024-01-25</t>
  </si>
  <si>
    <t>ORD-1240</t>
  </si>
  <si>
    <t>2024-05-28</t>
  </si>
  <si>
    <t>ORD-1241</t>
  </si>
  <si>
    <t>ORD-1242</t>
  </si>
  <si>
    <t>ORD-1243</t>
  </si>
  <si>
    <t>ORD-1244</t>
  </si>
  <si>
    <t>ORD-1245</t>
  </si>
  <si>
    <t>2024-11-27</t>
  </si>
  <si>
    <t>ORD-1246</t>
  </si>
  <si>
    <t>ORD-1247</t>
  </si>
  <si>
    <t>ORD-1248</t>
  </si>
  <si>
    <t>ORD-1249</t>
  </si>
  <si>
    <t>ORD-1250</t>
  </si>
  <si>
    <t>2024-06-12</t>
  </si>
  <si>
    <t>ORD-1251</t>
  </si>
  <si>
    <t>ORD-1252</t>
  </si>
  <si>
    <t>2024-05-05</t>
  </si>
  <si>
    <t>ORD-1253</t>
  </si>
  <si>
    <t>ORD-1254</t>
  </si>
  <si>
    <t>ORD-1255</t>
  </si>
  <si>
    <t>2024-08-21</t>
  </si>
  <si>
    <t>ORD-1256</t>
  </si>
  <si>
    <t>2024-10-09</t>
  </si>
  <si>
    <t>ORD-1257</t>
  </si>
  <si>
    <t>2024-12-23</t>
  </si>
  <si>
    <t>ORD-1258</t>
  </si>
  <si>
    <t>2024-05-09</t>
  </si>
  <si>
    <t>ORD-1259</t>
  </si>
  <si>
    <t>2024-12-22</t>
  </si>
  <si>
    <t>ORD-1260</t>
  </si>
  <si>
    <t>ORD-1261</t>
  </si>
  <si>
    <t>ORD-1262</t>
  </si>
  <si>
    <t>2024-12-16</t>
  </si>
  <si>
    <t>ORD-1263</t>
  </si>
  <si>
    <t>2024-02-09</t>
  </si>
  <si>
    <t>ORD-1264</t>
  </si>
  <si>
    <t>ORD-1265</t>
  </si>
  <si>
    <t>ORD-1266</t>
  </si>
  <si>
    <t>ORD-1267</t>
  </si>
  <si>
    <t>2024-02-12</t>
  </si>
  <si>
    <t>ORD-1268</t>
  </si>
  <si>
    <t>ORD-1269</t>
  </si>
  <si>
    <t>ORD-1270</t>
  </si>
  <si>
    <t>ORD-1271</t>
  </si>
  <si>
    <t>ORD-1272</t>
  </si>
  <si>
    <t>2024-08-10</t>
  </si>
  <si>
    <t>ORD-1273</t>
  </si>
  <si>
    <t>2024-09-10</t>
  </si>
  <si>
    <t>ORD-1274</t>
  </si>
  <si>
    <t>2024-11-13</t>
  </si>
  <si>
    <t>ORD-1275</t>
  </si>
  <si>
    <t>ORD-1276</t>
  </si>
  <si>
    <t>ORD-1277</t>
  </si>
  <si>
    <t>2024-04-12</t>
  </si>
  <si>
    <t>ORD-1278</t>
  </si>
  <si>
    <t>ORD-1279</t>
  </si>
  <si>
    <t>2024-08-04</t>
  </si>
  <si>
    <t>ORD-1280</t>
  </si>
  <si>
    <t>ORD-1281</t>
  </si>
  <si>
    <t>ORD-1282</t>
  </si>
  <si>
    <t>ORD-1283</t>
  </si>
  <si>
    <t>ORD-1284</t>
  </si>
  <si>
    <t>ORD-1285</t>
  </si>
  <si>
    <t>ORD-1286</t>
  </si>
  <si>
    <t>ORD-1287</t>
  </si>
  <si>
    <t>2024-08-24</t>
  </si>
  <si>
    <t>ORD-1288</t>
  </si>
  <si>
    <t>ORD-1289</t>
  </si>
  <si>
    <t>ORD-1290</t>
  </si>
  <si>
    <t>ORD-1291</t>
  </si>
  <si>
    <t>ORD-1292</t>
  </si>
  <si>
    <t>ORD-1293</t>
  </si>
  <si>
    <t>2024-07-15</t>
  </si>
  <si>
    <t>ORD-1294</t>
  </si>
  <si>
    <t>2024-04-05</t>
  </si>
  <si>
    <t>ORD-1295</t>
  </si>
  <si>
    <t>ORD-1296</t>
  </si>
  <si>
    <t>ORD-1297</t>
  </si>
  <si>
    <t>ORD-1298</t>
  </si>
  <si>
    <t>ORD-1299</t>
  </si>
  <si>
    <t>2024-02-14</t>
  </si>
  <si>
    <t>ORD-1300</t>
  </si>
  <si>
    <t>2024-08-07</t>
  </si>
  <si>
    <t>ORD-1301</t>
  </si>
  <si>
    <t>2024-10-02</t>
  </si>
  <si>
    <t>ORD-1302</t>
  </si>
  <si>
    <t>ORD-1303</t>
  </si>
  <si>
    <t>2024-12-12</t>
  </si>
  <si>
    <t>ORD-1304</t>
  </si>
  <si>
    <t>ORD-1305</t>
  </si>
  <si>
    <t>2024-02-17</t>
  </si>
  <si>
    <t>ORD-1306</t>
  </si>
  <si>
    <t>ORD-1307</t>
  </si>
  <si>
    <t>ORD-1308</t>
  </si>
  <si>
    <t>ORD-1309</t>
  </si>
  <si>
    <t>2024-12-06</t>
  </si>
  <si>
    <t>ORD-1310</t>
  </si>
  <si>
    <t>ORD-1311</t>
  </si>
  <si>
    <t>ORD-1312</t>
  </si>
  <si>
    <t>ORD-1313</t>
  </si>
  <si>
    <t>ORD-1314</t>
  </si>
  <si>
    <t>ORD-1315</t>
  </si>
  <si>
    <t>ORD-1316</t>
  </si>
  <si>
    <t>2024-11-03</t>
  </si>
  <si>
    <t>ORD-1317</t>
  </si>
  <si>
    <t>ORD-1318</t>
  </si>
  <si>
    <t>2024-09-27</t>
  </si>
  <si>
    <t>ORD-1319</t>
  </si>
  <si>
    <t>ORD-1320</t>
  </si>
  <si>
    <t>2024-01-31</t>
  </si>
  <si>
    <t>ORD-1321</t>
  </si>
  <si>
    <t>ORD-1322</t>
  </si>
  <si>
    <t>2024-07-19</t>
  </si>
  <si>
    <t>ORD-1323</t>
  </si>
  <si>
    <t>ORD-1324</t>
  </si>
  <si>
    <t>ORD-1325</t>
  </si>
  <si>
    <t>2024-01-16</t>
  </si>
  <si>
    <t>ORD-1326</t>
  </si>
  <si>
    <t>2024-07-03</t>
  </si>
  <si>
    <t>ORD-1327</t>
  </si>
  <si>
    <t>2024-12-11</t>
  </si>
  <si>
    <t>ORD-1328</t>
  </si>
  <si>
    <t>ORD-1329</t>
  </si>
  <si>
    <t>ORD-1330</t>
  </si>
  <si>
    <t>2024-09-21</t>
  </si>
  <si>
    <t>ORD-1331</t>
  </si>
  <si>
    <t>2024-01-05</t>
  </si>
  <si>
    <t>ORD-1332</t>
  </si>
  <si>
    <t>ORD-1333</t>
  </si>
  <si>
    <t>ORD-1334</t>
  </si>
  <si>
    <t>ORD-1335</t>
  </si>
  <si>
    <t>ORD-1336</t>
  </si>
  <si>
    <t>2024-02-01</t>
  </si>
  <si>
    <t>ORD-1337</t>
  </si>
  <si>
    <t>2024-06-16</t>
  </si>
  <si>
    <t>ORD-1338</t>
  </si>
  <si>
    <t>ORD-1339</t>
  </si>
  <si>
    <t>ORD-1340</t>
  </si>
  <si>
    <t>ORD-1341</t>
  </si>
  <si>
    <t>2024-03-30</t>
  </si>
  <si>
    <t>ORD-1342</t>
  </si>
  <si>
    <t>ORD-1343</t>
  </si>
  <si>
    <t>ORD-1344</t>
  </si>
  <si>
    <t>2024-06-18</t>
  </si>
  <si>
    <t>ORD-1345</t>
  </si>
  <si>
    <t>ORD-1346</t>
  </si>
  <si>
    <t>2024-03-17</t>
  </si>
  <si>
    <t>ORD-1347</t>
  </si>
  <si>
    <t>ORD-1348</t>
  </si>
  <si>
    <t>ORD-1349</t>
  </si>
  <si>
    <t>ORD-1350</t>
  </si>
  <si>
    <t>2024-03-22</t>
  </si>
  <si>
    <t>ORD-1351</t>
  </si>
  <si>
    <t>2024-07-17</t>
  </si>
  <si>
    <t>ORD-1352</t>
  </si>
  <si>
    <t>ORD-1353</t>
  </si>
  <si>
    <t>2024-02-16</t>
  </si>
  <si>
    <t>ORD-1354</t>
  </si>
  <si>
    <t>ORD-1355</t>
  </si>
  <si>
    <t>2024-03-13</t>
  </si>
  <si>
    <t>ORD-1356</t>
  </si>
  <si>
    <t>2024-03-10</t>
  </si>
  <si>
    <t>ORD-1357</t>
  </si>
  <si>
    <t>ORD-1358</t>
  </si>
  <si>
    <t>ORD-1359</t>
  </si>
  <si>
    <t>ORD-1360</t>
  </si>
  <si>
    <t>2024-02-15</t>
  </si>
  <si>
    <t>ORD-1361</t>
  </si>
  <si>
    <t>ORD-1362</t>
  </si>
  <si>
    <t>ORD-1363</t>
  </si>
  <si>
    <t>2024-01-18</t>
  </si>
  <si>
    <t>ORD-1364</t>
  </si>
  <si>
    <t>ORD-1365</t>
  </si>
  <si>
    <t>ORD-1366</t>
  </si>
  <si>
    <t>ORD-1367</t>
  </si>
  <si>
    <t>ORD-1368</t>
  </si>
  <si>
    <t>2024-09-02</t>
  </si>
  <si>
    <t>ORD-1369</t>
  </si>
  <si>
    <t>ORD-1370</t>
  </si>
  <si>
    <t>ORD-1371</t>
  </si>
  <si>
    <t>2024-05-17</t>
  </si>
  <si>
    <t>ORD-1372</t>
  </si>
  <si>
    <t>2024-10-28</t>
  </si>
  <si>
    <t>ORD-1373</t>
  </si>
  <si>
    <t>ORD-1374</t>
  </si>
  <si>
    <t>ORD-1375</t>
  </si>
  <si>
    <t>ORD-1376</t>
  </si>
  <si>
    <t>2024-07-22</t>
  </si>
  <si>
    <t>ORD-1377</t>
  </si>
  <si>
    <t>2024-03-16</t>
  </si>
  <si>
    <t>ORD-1378</t>
  </si>
  <si>
    <t>2024-12-01</t>
  </si>
  <si>
    <t>ORD-1379</t>
  </si>
  <si>
    <t>ORD-1380</t>
  </si>
  <si>
    <t>2024-01-11</t>
  </si>
  <si>
    <t>ORD-1381</t>
  </si>
  <si>
    <t>2024-08-14</t>
  </si>
  <si>
    <t>ORD-1382</t>
  </si>
  <si>
    <t>2024-07-27</t>
  </si>
  <si>
    <t>ORD-1383</t>
  </si>
  <si>
    <t>ORD-1384</t>
  </si>
  <si>
    <t>ORD-1385</t>
  </si>
  <si>
    <t>ORD-1386</t>
  </si>
  <si>
    <t>2024-05-12</t>
  </si>
  <si>
    <t>ORD-1387</t>
  </si>
  <si>
    <t>ORD-1388</t>
  </si>
  <si>
    <t>ORD-1389</t>
  </si>
  <si>
    <t>2024-06-27</t>
  </si>
  <si>
    <t>ORD-1390</t>
  </si>
  <si>
    <t>2024-09-18</t>
  </si>
  <si>
    <t>ORD-1391</t>
  </si>
  <si>
    <t>ORD-1392</t>
  </si>
  <si>
    <t>ORD-1393</t>
  </si>
  <si>
    <t>2024-10-25</t>
  </si>
  <si>
    <t>ORD-1394</t>
  </si>
  <si>
    <t>ORD-1395</t>
  </si>
  <si>
    <t>2024-04-03</t>
  </si>
  <si>
    <t>ORD-1396</t>
  </si>
  <si>
    <t>ORD-1397</t>
  </si>
  <si>
    <t>ORD-1398</t>
  </si>
  <si>
    <t>ORD-1399</t>
  </si>
  <si>
    <t>2024-04-02</t>
  </si>
  <si>
    <t>ORD-1400</t>
  </si>
  <si>
    <t>2024-04-17</t>
  </si>
  <si>
    <t>ORD-1401</t>
  </si>
  <si>
    <t>ORD-1402</t>
  </si>
  <si>
    <t>ORD-1403</t>
  </si>
  <si>
    <t>ORD-1404</t>
  </si>
  <si>
    <t>2024-11-01</t>
  </si>
  <si>
    <t>ORD-1405</t>
  </si>
  <si>
    <t>2024-07-25</t>
  </si>
  <si>
    <t>ORD-1406</t>
  </si>
  <si>
    <t>ORD-1407</t>
  </si>
  <si>
    <t>2024-12-04</t>
  </si>
  <si>
    <t>ORD-1408</t>
  </si>
  <si>
    <t>ORD-1409</t>
  </si>
  <si>
    <t>ORD-1410</t>
  </si>
  <si>
    <t>ORD-1411</t>
  </si>
  <si>
    <t>ORD-1412</t>
  </si>
  <si>
    <t>2024-01-07</t>
  </si>
  <si>
    <t>ORD-1413</t>
  </si>
  <si>
    <t>2024-05-11</t>
  </si>
  <si>
    <t>ORD-1414</t>
  </si>
  <si>
    <t>ORD-1415</t>
  </si>
  <si>
    <t>2024-03-28</t>
  </si>
  <si>
    <t>ORD-1416</t>
  </si>
  <si>
    <t>ORD-1417</t>
  </si>
  <si>
    <t>2024-03-26</t>
  </si>
  <si>
    <t>ORD-1418</t>
  </si>
  <si>
    <t>ORD-1419</t>
  </si>
  <si>
    <t>2024-02-27</t>
  </si>
  <si>
    <t>ORD-1420</t>
  </si>
  <si>
    <t>2024-12-13</t>
  </si>
  <si>
    <t>ORD-1421</t>
  </si>
  <si>
    <t>ORD-1422</t>
  </si>
  <si>
    <t>ORD-1423</t>
  </si>
  <si>
    <t>ORD-1424</t>
  </si>
  <si>
    <t>2024-10-20</t>
  </si>
  <si>
    <t>ORD-1425</t>
  </si>
  <si>
    <t>ORD-1426</t>
  </si>
  <si>
    <t>2024-11-22</t>
  </si>
  <si>
    <t>ORD-1427</t>
  </si>
  <si>
    <t>ORD-1428</t>
  </si>
  <si>
    <t>ORD-1429</t>
  </si>
  <si>
    <t>ORD-1430</t>
  </si>
  <si>
    <t>2024-04-07</t>
  </si>
  <si>
    <t>ORD-1431</t>
  </si>
  <si>
    <t>2024-09-15</t>
  </si>
  <si>
    <t>ORD-1432</t>
  </si>
  <si>
    <t>ORD-1433</t>
  </si>
  <si>
    <t>ORD-1434</t>
  </si>
  <si>
    <t>2024-11-04</t>
  </si>
  <si>
    <t>ORD-1435</t>
  </si>
  <si>
    <t>ORD-1436</t>
  </si>
  <si>
    <t>ORD-1437</t>
  </si>
  <si>
    <t>2024-09-24</t>
  </si>
  <si>
    <t>ORD-1438</t>
  </si>
  <si>
    <t>ORD-1439</t>
  </si>
  <si>
    <t>ORD-1440</t>
  </si>
  <si>
    <t>ORD-1441</t>
  </si>
  <si>
    <t>ORD-1442</t>
  </si>
  <si>
    <t>ORD-1443</t>
  </si>
  <si>
    <t>ORD-1444</t>
  </si>
  <si>
    <t>2024-01-21</t>
  </si>
  <si>
    <t>ORD-1445</t>
  </si>
  <si>
    <t>2024-10-08</t>
  </si>
  <si>
    <t>ORD-1446</t>
  </si>
  <si>
    <t>ORD-1447</t>
  </si>
  <si>
    <t>2024-04-21</t>
  </si>
  <si>
    <t>ORD-1448</t>
  </si>
  <si>
    <t>ORD-1449</t>
  </si>
  <si>
    <t>ORD-1450</t>
  </si>
  <si>
    <t>ORD-1451</t>
  </si>
  <si>
    <t>ORD-1452</t>
  </si>
  <si>
    <t>ORD-1453</t>
  </si>
  <si>
    <t>ORD-1454</t>
  </si>
  <si>
    <t>ORD-1455</t>
  </si>
  <si>
    <t>ORD-1456</t>
  </si>
  <si>
    <t>2024-08-12</t>
  </si>
  <si>
    <t>ORD-1457</t>
  </si>
  <si>
    <t>ORD-1458</t>
  </si>
  <si>
    <t>ORD-1459</t>
  </si>
  <si>
    <t>ORD-1460</t>
  </si>
  <si>
    <t>2024-04-09</t>
  </si>
  <si>
    <t>ORD-1461</t>
  </si>
  <si>
    <t>ORD-1462</t>
  </si>
  <si>
    <t>ORD-1463</t>
  </si>
  <si>
    <t>ORD-1464</t>
  </si>
  <si>
    <t>ORD-1465</t>
  </si>
  <si>
    <t>ORD-1466</t>
  </si>
  <si>
    <t>ORD-1467</t>
  </si>
  <si>
    <t>2024-10-29</t>
  </si>
  <si>
    <t>ORD-1468</t>
  </si>
  <si>
    <t>2024-07-06</t>
  </si>
  <si>
    <t>ORD-1469</t>
  </si>
  <si>
    <t>2024-01-06</t>
  </si>
  <si>
    <t>ORD-1470</t>
  </si>
  <si>
    <t>2024-12-03</t>
  </si>
  <si>
    <t>ORD-1471</t>
  </si>
  <si>
    <t>ORD-1472</t>
  </si>
  <si>
    <t>ORD-1473</t>
  </si>
  <si>
    <t>ORD-1474</t>
  </si>
  <si>
    <t>ORD-1475</t>
  </si>
  <si>
    <t>2024-09-20</t>
  </si>
  <si>
    <t>ORD-1476</t>
  </si>
  <si>
    <t>ORD-1477</t>
  </si>
  <si>
    <t>2024-01-12</t>
  </si>
  <si>
    <t>ORD-1478</t>
  </si>
  <si>
    <t>ORD-1479</t>
  </si>
  <si>
    <t>ORD-1480</t>
  </si>
  <si>
    <t>ORD-1481</t>
  </si>
  <si>
    <t>ORD-1482</t>
  </si>
  <si>
    <t>ORD-1483</t>
  </si>
  <si>
    <t>2024-03-01</t>
  </si>
  <si>
    <t>ORD-1484</t>
  </si>
  <si>
    <t>2024-01-23</t>
  </si>
  <si>
    <t>ORD-1485</t>
  </si>
  <si>
    <t>2024-09-01</t>
  </si>
  <si>
    <t>ORD-1486</t>
  </si>
  <si>
    <t>2024-01-04</t>
  </si>
  <si>
    <t>ORD-1487</t>
  </si>
  <si>
    <t>ORD-1488</t>
  </si>
  <si>
    <t>ORD-1489</t>
  </si>
  <si>
    <t>ORD-1490</t>
  </si>
  <si>
    <t>ORD-1491</t>
  </si>
  <si>
    <t>ORD-1492</t>
  </si>
  <si>
    <t>ORD-1493</t>
  </si>
  <si>
    <t>ORD-1494</t>
  </si>
  <si>
    <t>ORD-1495</t>
  </si>
  <si>
    <t>2024-01-19</t>
  </si>
  <si>
    <t>ORD-1496</t>
  </si>
  <si>
    <t>ORD-1497</t>
  </si>
  <si>
    <t>ORD-1498</t>
  </si>
  <si>
    <t>ORD-1499</t>
  </si>
  <si>
    <t>ORD-1500</t>
  </si>
  <si>
    <t>Date2</t>
  </si>
  <si>
    <t>Month</t>
  </si>
  <si>
    <t>Quarter</t>
  </si>
  <si>
    <t>Year</t>
  </si>
  <si>
    <t>Profit Margin%</t>
  </si>
  <si>
    <t xml:space="preserve">Order Flag </t>
  </si>
  <si>
    <t xml:space="preserve">Total Revenue </t>
  </si>
  <si>
    <t>Total Profit</t>
  </si>
  <si>
    <t>No.of Orders</t>
  </si>
  <si>
    <t>Avg Discount</t>
  </si>
  <si>
    <t>Total Revenue</t>
  </si>
  <si>
    <t>Avg Profit Margin</t>
  </si>
  <si>
    <t>Avg Order Value</t>
  </si>
  <si>
    <t>Rank</t>
  </si>
  <si>
    <t>Assumption</t>
  </si>
  <si>
    <t>Value</t>
  </si>
  <si>
    <t>Additional Profit</t>
  </si>
  <si>
    <t>Discount Reduction</t>
  </si>
  <si>
    <t>JAN</t>
  </si>
  <si>
    <t>MAR</t>
  </si>
  <si>
    <t>APR</t>
  </si>
  <si>
    <t>MAY</t>
  </si>
  <si>
    <t>AUG</t>
  </si>
  <si>
    <t>SEP</t>
  </si>
  <si>
    <t>OCT</t>
  </si>
  <si>
    <t>NOV</t>
  </si>
  <si>
    <t>DEC</t>
  </si>
  <si>
    <t>Delivered(#)</t>
  </si>
  <si>
    <t>Categories</t>
  </si>
  <si>
    <t>Feb</t>
  </si>
  <si>
    <t>JUN</t>
  </si>
  <si>
    <t>JUL</t>
  </si>
  <si>
    <t>AVG Profit Margin</t>
  </si>
  <si>
    <t>Row Labels</t>
  </si>
  <si>
    <t>Grand Total</t>
  </si>
  <si>
    <t>Sum of Total Revenue (PKR)</t>
  </si>
  <si>
    <t>Jan</t>
  </si>
  <si>
    <t>Mar</t>
  </si>
  <si>
    <t>Apr</t>
  </si>
  <si>
    <t>May</t>
  </si>
  <si>
    <t>Jun</t>
  </si>
  <si>
    <t>Jul</t>
  </si>
  <si>
    <t>Aug</t>
  </si>
  <si>
    <t>Sep</t>
  </si>
  <si>
    <t>Oct</t>
  </si>
  <si>
    <t>Nov</t>
  </si>
  <si>
    <t>Dec</t>
  </si>
  <si>
    <t xml:space="preserve">Delivery Status </t>
  </si>
  <si>
    <t xml:space="preserve"> </t>
  </si>
  <si>
    <t>REVENUE</t>
  </si>
  <si>
    <t xml:space="preserve"> Revenue (PKR)</t>
  </si>
  <si>
    <t xml:space="preserve"> Profit (PKR)</t>
  </si>
  <si>
    <t>#</t>
  </si>
  <si>
    <t>Metric</t>
  </si>
  <si>
    <t>Interpretation</t>
  </si>
  <si>
    <t>PKR 52.9M</t>
  </si>
  <si>
    <t>Overall business performance</t>
  </si>
  <si>
    <t>PKR 9.1M</t>
  </si>
  <si>
    <t>17.2% of total revenue</t>
  </si>
  <si>
    <t>Top Region by Revenue</t>
  </si>
  <si>
    <t>PKR 7.9M but lowest margin</t>
  </si>
  <si>
    <t>Top Salesperson</t>
  </si>
  <si>
    <t>PKR 1.4M profit</t>
  </si>
  <si>
    <t>Most Orders</t>
  </si>
  <si>
    <t>66 orders handled</t>
  </si>
  <si>
    <t>Dominant Category</t>
  </si>
  <si>
    <t>63% of total revenue</t>
  </si>
  <si>
    <t>Delivery Rate</t>
  </si>
  <si>
    <t>290 of 500 orders delivered</t>
  </si>
  <si>
    <t>Peak Revenue Month</t>
  </si>
  <si>
    <t>September</t>
  </si>
  <si>
    <t>6.0M -- Highest  Monthly revenue</t>
  </si>
  <si>
    <t>Sum of Profit (PKR)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</si>
</sst>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409]d\-mmm\-yy;@"/>
    <numFmt numFmtId="165" formatCode="m/d/yy;@"/>
    <numFmt numFmtId="166" formatCode="0.0"/>
    <numFmt numFmtId="167" formatCode="0,,\ &quot;M&quot;"/>
    <numFmt numFmtId="168" formatCode="0.0,,&quot;M&quot;"/>
  </numFmts>
  <fonts count="19" x14ac:knownFonts="1">
    <font>
      <sz val="11"/>
      <color theme="1"/>
      <name val="Calibri"/>
      <family val="2"/>
      <scheme val="minor"/>
    </font>
    <font>
      <b/>
      <sz val="11"/>
      <color rgb="FFFFFFFF"/>
      <name val="Arial"/>
      <family val="2"/>
    </font>
    <font>
      <sz val="10"/>
      <name val="Arial"/>
      <family val="2"/>
    </font>
    <font>
      <b/>
      <sz val="11"/>
      <color theme="0"/>
      <name val="Calibri"/>
      <family val="2"/>
      <scheme val="minor"/>
    </font>
    <font>
      <sz val="11"/>
      <color theme="0"/>
      <name val="Calibri"/>
      <family val="2"/>
      <scheme val="minor"/>
    </font>
    <font>
      <sz val="26"/>
      <color theme="1"/>
      <name val="Calibri"/>
      <family val="2"/>
      <scheme val="minor"/>
    </font>
    <font>
      <b/>
      <sz val="28"/>
      <color theme="0"/>
      <name val="Calibri"/>
      <family val="2"/>
      <scheme val="minor"/>
    </font>
    <font>
      <sz val="11"/>
      <color rgb="FF006664"/>
      <name val="Calibri"/>
      <family val="2"/>
      <scheme val="minor"/>
    </font>
    <font>
      <sz val="26"/>
      <color theme="0"/>
      <name val="Calibri"/>
      <family val="2"/>
      <scheme val="minor"/>
    </font>
    <font>
      <b/>
      <sz val="20"/>
      <color theme="0"/>
      <name val="Calibri"/>
      <family val="2"/>
      <scheme val="minor"/>
    </font>
    <font>
      <sz val="14"/>
      <color theme="0"/>
      <name val="Calibri"/>
      <family val="2"/>
      <scheme val="minor"/>
    </font>
    <font>
      <sz val="14"/>
      <color theme="1"/>
      <name val="Calibri"/>
      <family val="2"/>
      <scheme val="minor"/>
    </font>
    <font>
      <sz val="10"/>
      <name val="Arial"/>
      <family val="2"/>
    </font>
    <font>
      <b/>
      <sz val="16"/>
      <color theme="0"/>
      <name val="Calibri"/>
      <family val="2"/>
      <scheme val="minor"/>
    </font>
    <font>
      <b/>
      <sz val="14"/>
      <color theme="0"/>
      <name val="Calibri"/>
      <family val="2"/>
      <scheme val="minor"/>
    </font>
    <font>
      <b/>
      <sz val="11"/>
      <color rgb="FF006F6C"/>
      <name val="Calibri"/>
      <family val="2"/>
      <scheme val="minor"/>
    </font>
    <font>
      <b/>
      <sz val="14"/>
      <color theme="1"/>
      <name val="Calibri"/>
      <family val="2"/>
      <scheme val="minor"/>
    </font>
    <font>
      <b/>
      <sz val="18"/>
      <color theme="0"/>
      <name val="Calibri"/>
      <family val="2"/>
      <scheme val="minor"/>
    </font>
    <font>
      <sz val="14"/>
      <color rgb="FF006664"/>
      <name val="Calibri"/>
      <family val="2"/>
      <scheme val="minor"/>
    </font>
  </fonts>
  <fills count="9">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
      <patternFill patternType="solid">
        <fgColor rgb="FF006664"/>
        <bgColor indexed="64"/>
      </patternFill>
    </fill>
    <fill>
      <patternFill patternType="solid">
        <fgColor theme="0"/>
        <bgColor indexed="64"/>
      </patternFill>
    </fill>
    <fill>
      <patternFill patternType="solid">
        <fgColor rgb="FFD2F0EE"/>
        <bgColor indexed="64"/>
      </patternFill>
    </fill>
    <fill>
      <patternFill patternType="solid">
        <fgColor rgb="FFFFFFFF"/>
        <bgColor indexed="64"/>
      </patternFill>
    </fill>
  </fills>
  <borders count="23">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style="thin">
        <color theme="0" tint="-0.14996795556505021"/>
      </right>
      <top/>
      <bottom/>
      <diagonal/>
    </border>
    <border>
      <left/>
      <right/>
      <top/>
      <bottom style="thin">
        <color theme="0" tint="-0.14996795556505021"/>
      </bottom>
      <diagonal/>
    </border>
    <border>
      <left/>
      <right style="thin">
        <color theme="0" tint="-0.14996795556505021"/>
      </right>
      <top/>
      <bottom style="thin">
        <color theme="0" tint="-0.14996795556505021"/>
      </bottom>
      <diagonal/>
    </border>
  </borders>
  <cellStyleXfs count="1">
    <xf numFmtId="0" fontId="0" fillId="0" borderId="0"/>
  </cellStyleXfs>
  <cellXfs count="1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164" fontId="1" fillId="2" borderId="5" xfId="0" applyNumberFormat="1" applyFont="1" applyFill="1" applyBorder="1" applyAlignment="1">
      <alignment horizontal="center" vertical="center" wrapText="1"/>
    </xf>
    <xf numFmtId="164" fontId="2" fillId="3" borderId="1" xfId="0" applyNumberFormat="1" applyFont="1" applyFill="1" applyBorder="1" applyAlignment="1">
      <alignment horizontal="center" vertical="center"/>
    </xf>
    <xf numFmtId="164" fontId="2" fillId="4" borderId="1" xfId="0" applyNumberFormat="1" applyFont="1" applyFill="1" applyBorder="1" applyAlignment="1">
      <alignment horizontal="center" vertical="center"/>
    </xf>
    <xf numFmtId="164" fontId="2" fillId="4" borderId="8" xfId="0" applyNumberFormat="1" applyFont="1" applyFill="1" applyBorder="1" applyAlignment="1">
      <alignment horizontal="center" vertical="center"/>
    </xf>
    <xf numFmtId="165" fontId="1" fillId="2" borderId="5" xfId="0" applyNumberFormat="1" applyFont="1" applyFill="1" applyBorder="1" applyAlignment="1">
      <alignment horizontal="center" vertical="center" wrapText="1"/>
    </xf>
    <xf numFmtId="165" fontId="2" fillId="3" borderId="1" xfId="0" applyNumberFormat="1" applyFont="1" applyFill="1" applyBorder="1" applyAlignment="1">
      <alignment horizontal="center" vertical="center"/>
    </xf>
    <xf numFmtId="165" fontId="2" fillId="4" borderId="1" xfId="0" applyNumberFormat="1" applyFont="1" applyFill="1" applyBorder="1" applyAlignment="1">
      <alignment horizontal="center" vertical="center"/>
    </xf>
    <xf numFmtId="165" fontId="2" fillId="4" borderId="8" xfId="0" applyNumberFormat="1" applyFont="1" applyFill="1" applyBorder="1" applyAlignment="1">
      <alignment horizontal="center" vertical="center"/>
    </xf>
    <xf numFmtId="164" fontId="0" fillId="0" borderId="0" xfId="0" applyNumberFormat="1"/>
    <xf numFmtId="10" fontId="2" fillId="3" borderId="1" xfId="0" applyNumberFormat="1" applyFont="1" applyFill="1" applyBorder="1" applyAlignment="1">
      <alignment horizontal="center" vertical="center"/>
    </xf>
    <xf numFmtId="10" fontId="2" fillId="4" borderId="1" xfId="0" applyNumberFormat="1" applyFont="1" applyFill="1" applyBorder="1" applyAlignment="1">
      <alignment horizontal="center" vertical="center"/>
    </xf>
    <xf numFmtId="10" fontId="2" fillId="4" borderId="8" xfId="0" applyNumberFormat="1" applyFont="1" applyFill="1" applyBorder="1" applyAlignment="1">
      <alignment horizontal="center" vertical="center"/>
    </xf>
    <xf numFmtId="0" fontId="0" fillId="0" borderId="0" xfId="0" applyAlignment="1">
      <alignment horizontal="center"/>
    </xf>
    <xf numFmtId="0" fontId="0" fillId="0" borderId="0" xfId="0" applyFill="1"/>
    <xf numFmtId="0" fontId="3" fillId="0" borderId="0" xfId="0" applyFont="1" applyFill="1" applyAlignment="1">
      <alignment horizontal="center"/>
    </xf>
    <xf numFmtId="0" fontId="6" fillId="0" borderId="0" xfId="0" applyFont="1" applyFill="1" applyAlignment="1">
      <alignment horizontal="center"/>
    </xf>
    <xf numFmtId="0" fontId="3" fillId="0" borderId="0" xfId="0" applyFont="1" applyFill="1"/>
    <xf numFmtId="0" fontId="7" fillId="0" borderId="0" xfId="0" applyFont="1"/>
    <xf numFmtId="0" fontId="5" fillId="0" borderId="0" xfId="0" applyFont="1" applyFill="1" applyAlignment="1">
      <alignment horizontal="center"/>
    </xf>
    <xf numFmtId="0" fontId="8" fillId="0" borderId="0" xfId="0" applyFont="1" applyFill="1"/>
    <xf numFmtId="0" fontId="9" fillId="0" borderId="0" xfId="0" applyFont="1" applyFill="1" applyAlignment="1">
      <alignment horizontal="center"/>
    </xf>
    <xf numFmtId="0" fontId="4" fillId="0" borderId="0" xfId="0" applyFont="1" applyFill="1" applyAlignment="1">
      <alignment horizontal="center"/>
    </xf>
    <xf numFmtId="0" fontId="11" fillId="5" borderId="11" xfId="0" applyFont="1" applyFill="1" applyBorder="1" applyAlignment="1">
      <alignment horizontal="left" vertical="center" wrapText="1"/>
    </xf>
    <xf numFmtId="0" fontId="11" fillId="5" borderId="12" xfId="0" applyFont="1" applyFill="1" applyBorder="1" applyAlignment="1">
      <alignment horizontal="left" vertical="center" wrapText="1"/>
    </xf>
    <xf numFmtId="0" fontId="11" fillId="5" borderId="13" xfId="0" applyFont="1" applyFill="1" applyBorder="1" applyAlignment="1">
      <alignment horizontal="left" vertical="center" wrapText="1"/>
    </xf>
    <xf numFmtId="0" fontId="0" fillId="6" borderId="10" xfId="0" applyFill="1" applyBorder="1"/>
    <xf numFmtId="10" fontId="0" fillId="6" borderId="15" xfId="0" applyNumberFormat="1" applyFill="1" applyBorder="1"/>
    <xf numFmtId="0" fontId="0" fillId="7" borderId="10" xfId="0" applyFill="1" applyBorder="1"/>
    <xf numFmtId="10" fontId="0" fillId="7" borderId="15" xfId="0" applyNumberFormat="1" applyFill="1" applyBorder="1"/>
    <xf numFmtId="0" fontId="0" fillId="7" borderId="17" xfId="0" applyFill="1" applyBorder="1"/>
    <xf numFmtId="10" fontId="0" fillId="7" borderId="18" xfId="0" applyNumberFormat="1" applyFill="1" applyBorder="1"/>
    <xf numFmtId="0" fontId="11" fillId="5" borderId="11" xfId="0" applyFont="1" applyFill="1" applyBorder="1" applyAlignment="1">
      <alignment vertical="center" wrapText="1"/>
    </xf>
    <xf numFmtId="0" fontId="11" fillId="5" borderId="12" xfId="0" applyFont="1" applyFill="1" applyBorder="1" applyAlignment="1">
      <alignment vertical="center" wrapText="1"/>
    </xf>
    <xf numFmtId="0" fontId="11" fillId="5" borderId="13" xfId="0" applyNumberFormat="1" applyFont="1" applyFill="1" applyBorder="1" applyAlignment="1">
      <alignment vertical="center" wrapText="1"/>
    </xf>
    <xf numFmtId="0" fontId="0" fillId="6" borderId="14" xfId="0" applyFill="1" applyBorder="1"/>
    <xf numFmtId="0" fontId="0" fillId="6" borderId="15" xfId="0" applyNumberFormat="1" applyFill="1" applyBorder="1"/>
    <xf numFmtId="0" fontId="0" fillId="7" borderId="16" xfId="0" applyFill="1" applyBorder="1"/>
    <xf numFmtId="0" fontId="0" fillId="7" borderId="18" xfId="0" applyNumberFormat="1" applyFill="1" applyBorder="1"/>
    <xf numFmtId="0" fontId="11" fillId="5" borderId="13" xfId="0" applyFont="1" applyFill="1" applyBorder="1" applyAlignment="1">
      <alignment vertical="center" wrapText="1"/>
    </xf>
    <xf numFmtId="0" fontId="0" fillId="6" borderId="16" xfId="0" applyFill="1" applyBorder="1"/>
    <xf numFmtId="9" fontId="0" fillId="6" borderId="17" xfId="0" applyNumberFormat="1" applyFill="1" applyBorder="1"/>
    <xf numFmtId="0" fontId="0" fillId="6" borderId="18" xfId="0" applyFill="1" applyBorder="1"/>
    <xf numFmtId="0" fontId="10" fillId="5" borderId="11" xfId="0" applyFont="1" applyFill="1" applyBorder="1" applyAlignment="1">
      <alignment vertical="center"/>
    </xf>
    <xf numFmtId="0" fontId="10" fillId="5" borderId="12" xfId="0" applyFont="1" applyFill="1" applyBorder="1" applyAlignment="1">
      <alignment vertical="center" wrapText="1"/>
    </xf>
    <xf numFmtId="0" fontId="10" fillId="5" borderId="13" xfId="0" applyFont="1" applyFill="1" applyBorder="1" applyAlignment="1">
      <alignment vertical="center" wrapText="1"/>
    </xf>
    <xf numFmtId="0" fontId="2" fillId="6" borderId="14" xfId="0" applyFont="1" applyFill="1" applyBorder="1" applyAlignment="1">
      <alignment horizontal="left" vertical="center"/>
    </xf>
    <xf numFmtId="166" fontId="0" fillId="6" borderId="10" xfId="0" applyNumberFormat="1" applyFill="1" applyBorder="1"/>
    <xf numFmtId="0" fontId="0" fillId="6" borderId="15" xfId="0" applyFill="1" applyBorder="1"/>
    <xf numFmtId="0" fontId="2" fillId="7" borderId="14" xfId="0" applyFont="1" applyFill="1" applyBorder="1" applyAlignment="1">
      <alignment horizontal="left" vertical="center"/>
    </xf>
    <xf numFmtId="166" fontId="0" fillId="7" borderId="10" xfId="0" applyNumberFormat="1" applyFill="1" applyBorder="1"/>
    <xf numFmtId="0" fontId="0" fillId="7" borderId="15" xfId="0" applyFill="1" applyBorder="1" applyAlignment="1">
      <alignment horizontal="right"/>
    </xf>
    <xf numFmtId="0" fontId="0" fillId="7" borderId="15" xfId="0" applyFill="1" applyBorder="1"/>
    <xf numFmtId="0" fontId="2" fillId="7" borderId="16" xfId="0" applyFont="1" applyFill="1" applyBorder="1" applyAlignment="1">
      <alignment horizontal="left" vertical="center"/>
    </xf>
    <xf numFmtId="166" fontId="0" fillId="7" borderId="17" xfId="0" applyNumberFormat="1" applyFill="1" applyBorder="1"/>
    <xf numFmtId="0" fontId="0" fillId="7" borderId="18" xfId="0" applyFill="1" applyBorder="1"/>
    <xf numFmtId="0" fontId="11" fillId="5" borderId="11" xfId="0" applyFont="1" applyFill="1" applyBorder="1" applyAlignment="1">
      <alignment horizontal="left" vertical="center"/>
    </xf>
    <xf numFmtId="0" fontId="11" fillId="5" borderId="13" xfId="0" applyFont="1" applyFill="1" applyBorder="1" applyAlignment="1">
      <alignment horizontal="left" vertical="center"/>
    </xf>
    <xf numFmtId="0" fontId="0" fillId="7" borderId="14" xfId="0" applyFill="1" applyBorder="1"/>
    <xf numFmtId="0" fontId="11" fillId="5" borderId="11" xfId="0" applyFont="1" applyFill="1" applyBorder="1"/>
    <xf numFmtId="0" fontId="11" fillId="5" borderId="12" xfId="0" applyFont="1" applyFill="1" applyBorder="1" applyAlignment="1">
      <alignment wrapText="1"/>
    </xf>
    <xf numFmtId="0" fontId="11" fillId="5" borderId="12" xfId="0" applyFont="1" applyFill="1" applyBorder="1"/>
    <xf numFmtId="0" fontId="11" fillId="5" borderId="13" xfId="0" applyFont="1" applyFill="1" applyBorder="1"/>
    <xf numFmtId="0" fontId="0" fillId="6" borderId="17" xfId="0" applyFill="1" applyBorder="1"/>
    <xf numFmtId="0" fontId="0" fillId="0" borderId="0" xfId="0" applyBorder="1"/>
    <xf numFmtId="0" fontId="12" fillId="8" borderId="7" xfId="0" applyFont="1" applyFill="1" applyBorder="1" applyAlignment="1">
      <alignment horizontal="center" vertical="center"/>
    </xf>
    <xf numFmtId="164" fontId="12" fillId="8" borderId="8" xfId="0" applyNumberFormat="1" applyFont="1" applyFill="1" applyBorder="1" applyAlignment="1">
      <alignment horizontal="center" vertical="center"/>
    </xf>
    <xf numFmtId="0" fontId="12" fillId="8" borderId="8" xfId="0" applyFont="1" applyFill="1" applyBorder="1" applyAlignment="1">
      <alignment horizontal="center" vertical="center"/>
    </xf>
    <xf numFmtId="10" fontId="12" fillId="8" borderId="8" xfId="0" applyNumberFormat="1" applyFont="1" applyFill="1" applyBorder="1" applyAlignment="1">
      <alignment horizontal="center" vertical="center"/>
    </xf>
    <xf numFmtId="0" fontId="12" fillId="8" borderId="9" xfId="0" applyFont="1" applyFill="1" applyBorder="1" applyAlignment="1">
      <alignment horizontal="center" vertical="center"/>
    </xf>
    <xf numFmtId="165" fontId="12" fillId="8" borderId="8" xfId="0" applyNumberFormat="1" applyFont="1" applyFill="1" applyBorder="1" applyAlignment="1">
      <alignment horizontal="center" vertical="center"/>
    </xf>
    <xf numFmtId="0" fontId="13" fillId="5" borderId="0" xfId="0" applyFont="1" applyFill="1"/>
    <xf numFmtId="0" fontId="13" fillId="5" borderId="0" xfId="0" applyFont="1" applyFill="1" applyAlignment="1">
      <alignment horizontal="center"/>
    </xf>
    <xf numFmtId="10" fontId="13" fillId="5" borderId="0" xfId="0" applyNumberFormat="1" applyFont="1" applyFill="1" applyAlignment="1">
      <alignment horizontal="center"/>
    </xf>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0" fontId="14" fillId="5" borderId="0" xfId="0" applyFont="1" applyFill="1"/>
    <xf numFmtId="0" fontId="14" fillId="5" borderId="0" xfId="0" applyFont="1" applyFill="1" applyAlignment="1">
      <alignment horizontal="left"/>
    </xf>
    <xf numFmtId="0" fontId="14" fillId="5" borderId="0" xfId="0" applyNumberFormat="1" applyFont="1" applyFill="1"/>
    <xf numFmtId="0" fontId="14" fillId="0" borderId="0" xfId="0" applyFont="1" applyFill="1"/>
    <xf numFmtId="0" fontId="4" fillId="0" borderId="0" xfId="0" applyFont="1"/>
    <xf numFmtId="0" fontId="15" fillId="0" borderId="0" xfId="0" applyFont="1"/>
    <xf numFmtId="10" fontId="14" fillId="0" borderId="0" xfId="0" applyNumberFormat="1" applyFont="1"/>
    <xf numFmtId="0" fontId="14" fillId="0" borderId="0" xfId="0" applyFont="1"/>
    <xf numFmtId="0" fontId="17" fillId="0" borderId="0" xfId="0" applyFont="1"/>
    <xf numFmtId="0" fontId="0" fillId="6" borderId="12" xfId="0" applyFill="1" applyBorder="1"/>
    <xf numFmtId="0" fontId="16" fillId="5" borderId="12" xfId="0" applyFont="1" applyFill="1" applyBorder="1"/>
    <xf numFmtId="0" fontId="0" fillId="6" borderId="0" xfId="0" applyFill="1"/>
    <xf numFmtId="0" fontId="17" fillId="5" borderId="0" xfId="0" applyFont="1" applyFill="1" applyBorder="1"/>
    <xf numFmtId="0" fontId="0" fillId="0" borderId="19" xfId="0" applyBorder="1"/>
    <xf numFmtId="0" fontId="0" fillId="0" borderId="20" xfId="0" applyBorder="1"/>
    <xf numFmtId="0" fontId="0" fillId="0" borderId="21" xfId="0" applyBorder="1"/>
    <xf numFmtId="0" fontId="18" fillId="0" borderId="22" xfId="0" applyFont="1" applyBorder="1" applyAlignment="1">
      <alignment horizontal="left" vertical="center"/>
    </xf>
    <xf numFmtId="0" fontId="18" fillId="0" borderId="22" xfId="0" applyFont="1" applyBorder="1"/>
    <xf numFmtId="0" fontId="18" fillId="0" borderId="22" xfId="0" applyFont="1" applyBorder="1" applyAlignment="1">
      <alignment horizontal="right"/>
    </xf>
    <xf numFmtId="9" fontId="18" fillId="0" borderId="22" xfId="0" applyNumberFormat="1" applyFont="1" applyBorder="1" applyAlignment="1">
      <alignment horizontal="right"/>
    </xf>
    <xf numFmtId="0" fontId="18" fillId="0" borderId="21" xfId="0" applyFont="1" applyBorder="1" applyAlignment="1">
      <alignment horizontal="right" vertical="center"/>
    </xf>
    <xf numFmtId="0" fontId="17" fillId="5" borderId="0" xfId="0" applyFont="1" applyFill="1" applyBorder="1" applyAlignment="1">
      <alignment horizontal="center" vertical="center"/>
    </xf>
    <xf numFmtId="0" fontId="0" fillId="0" borderId="0" xfId="0" pivotButton="1"/>
    <xf numFmtId="167" fontId="0" fillId="0" borderId="0" xfId="0" applyNumberFormat="1"/>
    <xf numFmtId="168" fontId="0" fillId="0" borderId="0" xfId="0" applyNumberFormat="1"/>
  </cellXfs>
  <cellStyles count="1">
    <cellStyle name="Normal" xfId="0" builtinId="0"/>
  </cellStyles>
  <dxfs count="248">
    <dxf>
      <numFmt numFmtId="168" formatCode="0.0,,&quot;M&quot;"/>
    </dxf>
    <dxf>
      <numFmt numFmtId="167" formatCode="0,,\ &quot;M&quot;"/>
    </dxf>
    <dxf>
      <font>
        <sz val="14"/>
      </font>
    </dxf>
    <dxf>
      <font>
        <sz val="14"/>
      </font>
    </dxf>
    <dxf>
      <font>
        <sz val="14"/>
      </font>
    </dxf>
    <dxf>
      <font>
        <sz val="14"/>
      </font>
    </dxf>
    <dxf>
      <font>
        <sz val="14"/>
      </font>
    </dxf>
    <dxf>
      <font>
        <b/>
      </font>
    </dxf>
    <dxf>
      <font>
        <b/>
      </font>
    </dxf>
    <dxf>
      <font>
        <b/>
      </font>
    </dxf>
    <dxf>
      <font>
        <b/>
      </font>
    </dxf>
    <dxf>
      <font>
        <b/>
      </font>
    </dxf>
    <dxf>
      <font>
        <b val="0"/>
      </font>
    </dxf>
    <dxf>
      <font>
        <b val="0"/>
      </font>
    </dxf>
    <dxf>
      <font>
        <b val="0"/>
      </font>
    </dxf>
    <dxf>
      <font>
        <b val="0"/>
      </font>
    </dxf>
    <dxf>
      <font>
        <b val="0"/>
      </font>
    </dxf>
    <dxf>
      <font>
        <sz val="12"/>
      </font>
    </dxf>
    <dxf>
      <font>
        <sz val="12"/>
      </font>
    </dxf>
    <dxf>
      <font>
        <sz val="12"/>
      </font>
    </dxf>
    <dxf>
      <font>
        <sz val="12"/>
      </font>
    </dxf>
    <dxf>
      <font>
        <sz val="12"/>
      </font>
    </dxf>
    <dxf>
      <font>
        <b/>
      </font>
    </dxf>
    <dxf>
      <font>
        <b/>
      </font>
    </dxf>
    <dxf>
      <font>
        <b/>
      </font>
    </dxf>
    <dxf>
      <font>
        <b/>
      </font>
    </dxf>
    <dxf>
      <font>
        <b/>
      </font>
    </dxf>
    <dxf>
      <font>
        <color theme="0"/>
      </font>
    </dxf>
    <dxf>
      <font>
        <color theme="0"/>
      </font>
    </dxf>
    <dxf>
      <font>
        <color theme="0"/>
      </font>
    </dxf>
    <dxf>
      <font>
        <color theme="0"/>
      </font>
    </dxf>
    <dxf>
      <font>
        <color theme="0"/>
      </font>
    </dxf>
    <dxf>
      <fill>
        <patternFill patternType="solid">
          <bgColor rgb="FF006664"/>
        </patternFill>
      </fill>
    </dxf>
    <dxf>
      <fill>
        <patternFill patternType="solid">
          <bgColor rgb="FF006664"/>
        </patternFill>
      </fill>
    </dxf>
    <dxf>
      <fill>
        <patternFill patternType="solid">
          <bgColor rgb="FF006664"/>
        </patternFill>
      </fill>
    </dxf>
    <dxf>
      <fill>
        <patternFill patternType="solid">
          <bgColor rgb="FF006664"/>
        </patternFill>
      </fill>
    </dxf>
    <dxf>
      <fill>
        <patternFill patternType="solid">
          <bgColor rgb="FF006664"/>
        </patternFill>
      </fill>
    </dxf>
    <dxf>
      <font>
        <sz val="14"/>
      </font>
    </dxf>
    <dxf>
      <font>
        <sz val="14"/>
      </font>
    </dxf>
    <dxf>
      <font>
        <sz val="14"/>
      </font>
    </dxf>
    <dxf>
      <font>
        <sz val="14"/>
      </font>
    </dxf>
    <dxf>
      <font>
        <sz val="14"/>
      </font>
    </dxf>
    <dxf>
      <font>
        <b/>
      </font>
    </dxf>
    <dxf>
      <font>
        <b/>
      </font>
    </dxf>
    <dxf>
      <font>
        <b/>
      </font>
    </dxf>
    <dxf>
      <font>
        <b/>
      </font>
    </dxf>
    <dxf>
      <font>
        <b/>
      </font>
    </dxf>
    <dxf>
      <font>
        <b val="0"/>
      </font>
    </dxf>
    <dxf>
      <font>
        <b val="0"/>
      </font>
    </dxf>
    <dxf>
      <font>
        <b val="0"/>
      </font>
    </dxf>
    <dxf>
      <font>
        <b val="0"/>
      </font>
    </dxf>
    <dxf>
      <font>
        <b val="0"/>
      </font>
    </dxf>
    <dxf>
      <font>
        <sz val="12"/>
      </font>
    </dxf>
    <dxf>
      <font>
        <sz val="12"/>
      </font>
    </dxf>
    <dxf>
      <font>
        <sz val="12"/>
      </font>
    </dxf>
    <dxf>
      <font>
        <sz val="12"/>
      </font>
    </dxf>
    <dxf>
      <font>
        <sz val="12"/>
      </font>
    </dxf>
    <dxf>
      <font>
        <b/>
      </font>
    </dxf>
    <dxf>
      <font>
        <b/>
      </font>
    </dxf>
    <dxf>
      <font>
        <b/>
      </font>
    </dxf>
    <dxf>
      <font>
        <b/>
      </font>
    </dxf>
    <dxf>
      <font>
        <b/>
      </font>
    </dxf>
    <dxf>
      <font>
        <color theme="0"/>
      </font>
    </dxf>
    <dxf>
      <font>
        <color theme="0"/>
      </font>
    </dxf>
    <dxf>
      <font>
        <color theme="0"/>
      </font>
    </dxf>
    <dxf>
      <font>
        <color theme="0"/>
      </font>
    </dxf>
    <dxf>
      <font>
        <color theme="0"/>
      </font>
    </dxf>
    <dxf>
      <fill>
        <patternFill patternType="solid">
          <bgColor rgb="FF006664"/>
        </patternFill>
      </fill>
    </dxf>
    <dxf>
      <fill>
        <patternFill patternType="solid">
          <bgColor rgb="FF006664"/>
        </patternFill>
      </fill>
    </dxf>
    <dxf>
      <fill>
        <patternFill patternType="solid">
          <bgColor rgb="FF006664"/>
        </patternFill>
      </fill>
    </dxf>
    <dxf>
      <fill>
        <patternFill patternType="solid">
          <bgColor rgb="FF006664"/>
        </patternFill>
      </fill>
    </dxf>
    <dxf>
      <fill>
        <patternFill patternType="solid">
          <bgColor rgb="FF006664"/>
        </patternFill>
      </fill>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sz val="12"/>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006664"/>
        </patternFill>
      </fill>
    </dxf>
    <dxf>
      <fill>
        <patternFill patternType="solid">
          <bgColor rgb="FF006664"/>
        </patternFill>
      </fill>
    </dxf>
    <dxf>
      <fill>
        <patternFill patternType="solid">
          <bgColor rgb="FF006664"/>
        </patternFill>
      </fill>
    </dxf>
    <dxf>
      <fill>
        <patternFill patternType="solid">
          <bgColor rgb="FF006664"/>
        </patternFill>
      </fill>
    </dxf>
    <dxf>
      <fill>
        <patternFill patternType="solid">
          <bgColor rgb="FF006664"/>
        </patternFill>
      </fill>
    </dxf>
    <dxf>
      <fill>
        <patternFill patternType="solid">
          <bgColor rgb="FF006664"/>
        </patternFill>
      </fill>
    </dxf>
    <dxf>
      <fill>
        <patternFill patternType="solid">
          <bgColor rgb="FF006664"/>
        </patternFill>
      </fill>
    </dxf>
    <dxf>
      <fill>
        <patternFill patternType="solid">
          <bgColor rgb="FF006664"/>
        </patternFill>
      </fill>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strike val="0"/>
        <outline val="0"/>
        <shadow val="0"/>
        <u val="none"/>
        <vertAlign val="baseline"/>
        <sz val="14"/>
        <color theme="1"/>
        <name val="Calibri"/>
        <scheme val="minor"/>
      </font>
      <fill>
        <patternFill patternType="solid">
          <fgColor indexed="64"/>
          <bgColor rgb="FF006664"/>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0"/>
        </patternFill>
      </fill>
      <border diagonalUp="0" diagonalDown="0" outline="0">
        <left style="thin">
          <color indexed="64"/>
        </left>
        <right/>
        <top style="thin">
          <color indexed="64"/>
        </top>
        <bottom style="thin">
          <color indexed="64"/>
        </bottom>
      </border>
    </dxf>
    <dxf>
      <numFmt numFmtId="13" formatCode="0%"/>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theme="0"/>
        </patternFill>
      </fill>
    </dxf>
    <dxf>
      <border>
        <bottom style="thin">
          <color indexed="64"/>
        </bottom>
      </border>
    </dxf>
    <dxf>
      <font>
        <strike val="0"/>
        <outline val="0"/>
        <shadow val="0"/>
        <u val="none"/>
        <vertAlign val="baseline"/>
        <sz val="14"/>
        <color theme="1"/>
        <name val="Calibri"/>
        <scheme val="minor"/>
      </font>
      <fill>
        <patternFill patternType="solid">
          <fgColor indexed="64"/>
          <bgColor rgb="FF006664"/>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strike val="0"/>
        <outline val="0"/>
        <shadow val="0"/>
        <u val="none"/>
        <vertAlign val="baseline"/>
        <sz val="14"/>
        <color theme="1"/>
        <name val="Calibri"/>
        <scheme val="minor"/>
      </font>
      <fill>
        <patternFill patternType="solid">
          <fgColor indexed="64"/>
          <bgColor rgb="FF006664"/>
        </patternFill>
      </fill>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strike val="0"/>
        <outline val="0"/>
        <shadow val="0"/>
        <u val="none"/>
        <vertAlign val="baseline"/>
        <sz val="14"/>
        <color theme="1"/>
        <name val="Calibri"/>
        <scheme val="minor"/>
      </font>
      <fill>
        <patternFill patternType="solid">
          <fgColor indexed="64"/>
          <bgColor rgb="FF006664"/>
        </patternFill>
      </fill>
      <alignment horizontal="left"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4" formatCode="0.0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strike val="0"/>
        <outline val="0"/>
        <shadow val="0"/>
        <u val="none"/>
        <vertAlign val="baseline"/>
        <sz val="14"/>
        <color theme="1"/>
        <name val="Calibri"/>
        <scheme val="minor"/>
      </font>
      <fill>
        <patternFill patternType="solid">
          <fgColor indexed="64"/>
          <bgColor rgb="FF006664"/>
        </patternFill>
      </fill>
      <alignment horizontal="lef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166"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rgb="FFCCCCCC"/>
        </left>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val="0"/>
        <i val="0"/>
        <strike val="0"/>
        <condense val="0"/>
        <extend val="0"/>
        <outline val="0"/>
        <shadow val="0"/>
        <u val="none"/>
        <vertAlign val="baseline"/>
        <sz val="14"/>
        <color theme="0"/>
        <name val="Calibri"/>
        <scheme val="minor"/>
      </font>
      <fill>
        <patternFill patternType="solid">
          <fgColor indexed="64"/>
          <bgColor rgb="FF006664"/>
        </patternFill>
      </fill>
      <alignment horizontal="general"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0"/>
        <color auto="1"/>
        <name val="Arial"/>
        <scheme val="none"/>
      </font>
      <numFmt numFmtId="165" formatCode="m/d/yy;@"/>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numFmt numFmtId="165" formatCode="m/d/yy;@"/>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scheme val="none"/>
      </font>
      <numFmt numFmtId="14"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numFmt numFmtId="14" formatCode="0.00%"/>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64" formatCode="[$-409]d\-mmm\-yy;@"/>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numFmt numFmtId="164" formatCode="[$-409]d\-mmm\-yy;@"/>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center" textRotation="0" wrapText="0" indent="0" justifyLastLine="0" shrinkToFit="0" readingOrder="0"/>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solid">
          <fgColor indexed="64"/>
          <bgColor rgb="FF1F4E79"/>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color rgb="FF9C0006"/>
      </font>
      <fill>
        <patternFill>
          <bgColor rgb="FFFFC7CE"/>
        </patternFill>
      </fill>
    </dxf>
    <dxf>
      <font>
        <color theme="0"/>
      </font>
      <fill>
        <patternFill>
          <bgColor rgb="FF006F6C"/>
        </patternFill>
      </fill>
    </dxf>
    <dxf>
      <border>
        <left style="thin">
          <color auto="1"/>
        </left>
        <right style="thin">
          <color auto="1"/>
        </right>
        <top style="thin">
          <color auto="1"/>
        </top>
        <bottom style="thin">
          <color auto="1"/>
        </bottom>
      </border>
    </dxf>
    <dxf>
      <font>
        <color theme="0"/>
      </font>
      <fill>
        <patternFill>
          <bgColor rgb="FF006F6C"/>
        </patternFill>
      </fill>
    </dxf>
    <dxf>
      <font>
        <color theme="0"/>
      </font>
    </dxf>
    <dxf>
      <fill>
        <patternFill>
          <bgColor rgb="FF008080"/>
        </patternFill>
      </fill>
    </dxf>
    <dxf>
      <fill>
        <patternFill patternType="solid">
          <bgColor rgb="FF006F6C"/>
        </patternFill>
      </fill>
    </dxf>
    <dxf>
      <fill>
        <patternFill>
          <bgColor rgb="FF006F6C"/>
        </patternFill>
      </fill>
    </dxf>
    <dxf>
      <font>
        <b/>
        <i val="0"/>
      </font>
      <fill>
        <patternFill>
          <bgColor rgb="FF006F6C"/>
        </patternFill>
      </fill>
    </dxf>
  </dxfs>
  <tableStyles count="6" defaultTableStyle="TableStyleMedium9" defaultPivotStyle="PivotStyleLight16">
    <tableStyle name="Slicer Style 1" pivot="0" table="0" count="1">
      <tableStyleElement type="wholeTable" dxfId="247"/>
    </tableStyle>
    <tableStyle name="Slicer Style 2" pivot="0" table="0" count="2">
      <tableStyleElement type="wholeTable" dxfId="246"/>
      <tableStyleElement type="headerRow" dxfId="245"/>
    </tableStyle>
    <tableStyle name="Slicer Style 3" pivot="0" table="0" count="1">
      <tableStyleElement type="headerRow" dxfId="244"/>
    </tableStyle>
    <tableStyle name="Slicer Style 4" pivot="0" table="0" count="1">
      <tableStyleElement type="headerRow" dxfId="243"/>
    </tableStyle>
    <tableStyle name="Slicer Style 5" pivot="0" table="0" count="1">
      <tableStyleElement type="headerRow" dxfId="242"/>
    </tableStyle>
    <tableStyle name="Slicer Style 6" pivot="0" table="0" count="3">
      <tableStyleElement type="wholeTable" dxfId="241"/>
      <tableStyleElement type="headerRow" dxfId="240"/>
    </tableStyle>
  </tableStyles>
  <colors>
    <mruColors>
      <color rgb="FF006664"/>
      <color rgb="FF0FF175"/>
      <color rgb="FFD2F0EE"/>
      <color rgb="FFB0E2DE"/>
      <color rgb="FFBEF4F3"/>
      <color rgb="FF20BAB6"/>
      <color rgb="FF006F6C"/>
      <color rgb="FF0DABA3"/>
      <color rgb="FF008080"/>
      <color rgb="FF328232"/>
    </mruColors>
  </colors>
  <extLst>
    <ext xmlns:x14="http://schemas.microsoft.com/office/spreadsheetml/2009/9/main" uri="{46F421CA-312F-682f-3DD2-61675219B42D}">
      <x14:dxfs count="1">
        <dxf>
          <font>
            <color theme="1"/>
          </font>
          <fill>
            <patternFill>
              <bgColor rgb="FFD2F0EE"/>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[Sales_Report_By_Areesha..xlsx]Sheet1!PivotTable4</c:name>
    <c:fmtId val="0"/>
  </c:pivotSource>
  <c:chart>
    <c:autoTitleDeleted val="1"/>
    <c:pivotFmts>
      <c:pivotFmt>
        <c:idx val="0"/>
        <c:spPr>
          <a:solidFill>
            <a:srgbClr val="006664"/>
          </a:solidFill>
          <a:ln>
            <a:noFill/>
          </a:ln>
          <a:effectLst/>
        </c:spPr>
        <c:marker>
          <c:symbol val="none"/>
        </c:marker>
        <c:dLbl>
          <c:idx val="0"/>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770585498770519"/>
          <c:y val="7.8316075931636753E-2"/>
          <c:w val="0.65693360802817835"/>
          <c:h val="0.74647324974766549"/>
        </c:manualLayout>
      </c:layout>
      <c:barChart>
        <c:barDir val="bar"/>
        <c:grouping val="clustered"/>
        <c:varyColors val="0"/>
        <c:ser>
          <c:idx val="0"/>
          <c:order val="0"/>
          <c:tx>
            <c:strRef>
              <c:f>Sheet1!$E$4</c:f>
              <c:strCache>
                <c:ptCount val="1"/>
                <c:pt idx="0">
                  <c:v>Total</c:v>
                </c:pt>
              </c:strCache>
            </c:strRef>
          </c:tx>
          <c:spPr>
            <a:solidFill>
              <a:srgbClr val="006664"/>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Sheet1!$D$5:$D$13</c:f>
              <c:strCache>
                <c:ptCount val="8"/>
                <c:pt idx="0">
                  <c:v>Quetta</c:v>
                </c:pt>
                <c:pt idx="1">
                  <c:v>Peshawar</c:v>
                </c:pt>
                <c:pt idx="2">
                  <c:v>Faisalabad</c:v>
                </c:pt>
                <c:pt idx="3">
                  <c:v>Rawalpindi</c:v>
                </c:pt>
                <c:pt idx="4">
                  <c:v>Multan</c:v>
                </c:pt>
                <c:pt idx="5">
                  <c:v>Karachi</c:v>
                </c:pt>
                <c:pt idx="6">
                  <c:v>Islamabad</c:v>
                </c:pt>
                <c:pt idx="7">
                  <c:v>Lahore</c:v>
                </c:pt>
              </c:strCache>
            </c:strRef>
          </c:cat>
          <c:val>
            <c:numRef>
              <c:f>Sheet1!$E$5:$E$13</c:f>
              <c:numCache>
                <c:formatCode>General</c:formatCode>
                <c:ptCount val="8"/>
                <c:pt idx="0">
                  <c:v>5230650</c:v>
                </c:pt>
                <c:pt idx="1">
                  <c:v>5312700</c:v>
                </c:pt>
                <c:pt idx="2">
                  <c:v>5745085</c:v>
                </c:pt>
                <c:pt idx="3">
                  <c:v>6559530</c:v>
                </c:pt>
                <c:pt idx="4">
                  <c:v>6952720</c:v>
                </c:pt>
                <c:pt idx="5">
                  <c:v>7566335</c:v>
                </c:pt>
                <c:pt idx="6">
                  <c:v>7690565</c:v>
                </c:pt>
                <c:pt idx="7">
                  <c:v>7911155</c:v>
                </c:pt>
              </c:numCache>
            </c:numRef>
          </c:val>
          <c:extLst>
            <c:ext xmlns:c16="http://schemas.microsoft.com/office/drawing/2014/chart" uri="{C3380CC4-5D6E-409C-BE32-E72D297353CC}">
              <c16:uniqueId val="{00000001-6E2A-4C45-A8D0-CE06B837FEAB}"/>
            </c:ext>
          </c:extLst>
        </c:ser>
        <c:dLbls>
          <c:dLblPos val="outEnd"/>
          <c:showLegendKey val="0"/>
          <c:showVal val="1"/>
          <c:showCatName val="0"/>
          <c:showSerName val="0"/>
          <c:showPercent val="0"/>
          <c:showBubbleSize val="0"/>
        </c:dLbls>
        <c:gapWidth val="182"/>
        <c:axId val="1566952063"/>
        <c:axId val="1566955807"/>
      </c:barChart>
      <c:catAx>
        <c:axId val="1566952063"/>
        <c:scaling>
          <c:orientation val="minMax"/>
        </c:scaling>
        <c:delete val="0"/>
        <c:axPos val="l"/>
        <c:title>
          <c:tx>
            <c:rich>
              <a:bodyPr rot="-5400000" spcFirstLastPara="1" vertOverflow="ellipsis" vert="horz" wrap="square" anchor="ctr" anchorCtr="1"/>
              <a:lstStyle/>
              <a:p>
                <a:pPr>
                  <a:defRPr sz="1100" b="1" i="0" u="none" strike="noStrike" kern="1200" baseline="0">
                    <a:solidFill>
                      <a:srgbClr val="006664"/>
                    </a:solidFill>
                    <a:latin typeface="+mn-lt"/>
                    <a:ea typeface="+mn-ea"/>
                    <a:cs typeface="+mn-cs"/>
                  </a:defRPr>
                </a:pPr>
                <a:r>
                  <a:rPr lang="en-US" sz="1600" b="1">
                    <a:solidFill>
                      <a:srgbClr val="006664"/>
                    </a:solidFill>
                  </a:rPr>
                  <a:t>Region</a:t>
                </a:r>
              </a:p>
            </c:rich>
          </c:tx>
          <c:layout>
            <c:manualLayout>
              <c:xMode val="edge"/>
              <c:yMode val="edge"/>
              <c:x val="3.992086334613084E-2"/>
              <c:y val="0.27564423832664864"/>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rgbClr val="006664"/>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66955807"/>
        <c:crosses val="autoZero"/>
        <c:auto val="1"/>
        <c:lblAlgn val="ctr"/>
        <c:lblOffset val="100"/>
        <c:noMultiLvlLbl val="0"/>
      </c:catAx>
      <c:valAx>
        <c:axId val="1566955807"/>
        <c:scaling>
          <c:orientation val="minMax"/>
        </c:scaling>
        <c:delete val="0"/>
        <c:axPos val="b"/>
        <c:numFmt formatCode="0,,&quot;M&quot;" sourceLinked="0"/>
        <c:majorTickMark val="none"/>
        <c:minorTickMark val="none"/>
        <c:tickLblPos val="nextTo"/>
        <c:spPr>
          <a:noFill/>
          <a:ln w="19050">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5669520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[Sales_Report_By_Areesha..xlsx]Sheet1!PivotTable3</c:name>
    <c:fmtId val="0"/>
  </c:pivotSource>
  <c:chart>
    <c:autoTitleDeleted val="1"/>
    <c:pivotFmts>
      <c:pivotFmt>
        <c:idx val="0"/>
        <c:spPr>
          <a:solidFill>
            <a:srgbClr val="006664"/>
          </a:solidFill>
          <a:ln>
            <a:noFill/>
          </a:ln>
          <a:effectLst/>
        </c:spPr>
        <c:marker>
          <c:symbol val="none"/>
        </c:marker>
        <c:dLbl>
          <c:idx val="0"/>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493626721721266"/>
          <c:y val="0.12067317069247366"/>
          <c:w val="0.73989390098268415"/>
          <c:h val="0.72976858563578129"/>
        </c:manualLayout>
      </c:layout>
      <c:barChart>
        <c:barDir val="col"/>
        <c:grouping val="clustered"/>
        <c:varyColors val="0"/>
        <c:ser>
          <c:idx val="0"/>
          <c:order val="0"/>
          <c:tx>
            <c:strRef>
              <c:f>Sheet1!$B$12</c:f>
              <c:strCache>
                <c:ptCount val="1"/>
                <c:pt idx="0">
                  <c:v>Total</c:v>
                </c:pt>
              </c:strCache>
            </c:strRef>
          </c:tx>
          <c:spPr>
            <a:solidFill>
              <a:srgbClr val="006664"/>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Sheet1!$A$13:$A$18</c:f>
              <c:strCache>
                <c:ptCount val="5"/>
                <c:pt idx="0">
                  <c:v>Bilal Hussain</c:v>
                </c:pt>
                <c:pt idx="1">
                  <c:v>Nadia Iqbal</c:v>
                </c:pt>
                <c:pt idx="2">
                  <c:v>Ayesha Siddiqui</c:v>
                </c:pt>
                <c:pt idx="3">
                  <c:v>Sara Khan</c:v>
                </c:pt>
                <c:pt idx="4">
                  <c:v>Fatima Malik</c:v>
                </c:pt>
              </c:strCache>
            </c:strRef>
          </c:cat>
          <c:val>
            <c:numRef>
              <c:f>Sheet1!$B$13:$B$18</c:f>
              <c:numCache>
                <c:formatCode>General</c:formatCode>
                <c:ptCount val="5"/>
                <c:pt idx="0">
                  <c:v>8698130</c:v>
                </c:pt>
                <c:pt idx="1">
                  <c:v>7225110</c:v>
                </c:pt>
                <c:pt idx="2">
                  <c:v>6054305</c:v>
                </c:pt>
                <c:pt idx="3">
                  <c:v>6046970</c:v>
                </c:pt>
                <c:pt idx="4">
                  <c:v>5657955</c:v>
                </c:pt>
              </c:numCache>
            </c:numRef>
          </c:val>
          <c:extLst>
            <c:ext xmlns:c16="http://schemas.microsoft.com/office/drawing/2014/chart" uri="{C3380CC4-5D6E-409C-BE32-E72D297353CC}">
              <c16:uniqueId val="{00000001-2B69-4F1F-A7F3-643EE0C625B2}"/>
            </c:ext>
          </c:extLst>
        </c:ser>
        <c:dLbls>
          <c:dLblPos val="outEnd"/>
          <c:showLegendKey val="0"/>
          <c:showVal val="1"/>
          <c:showCatName val="0"/>
          <c:showSerName val="0"/>
          <c:showPercent val="0"/>
          <c:showBubbleSize val="0"/>
        </c:dLbls>
        <c:gapWidth val="219"/>
        <c:overlap val="-27"/>
        <c:axId val="1718478319"/>
        <c:axId val="1718473743"/>
      </c:barChart>
      <c:catAx>
        <c:axId val="1718478319"/>
        <c:scaling>
          <c:orientation val="minMax"/>
        </c:scaling>
        <c:delete val="0"/>
        <c:axPos val="b"/>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8473743"/>
        <c:crosses val="autoZero"/>
        <c:auto val="1"/>
        <c:lblAlgn val="ctr"/>
        <c:lblOffset val="100"/>
        <c:noMultiLvlLbl val="0"/>
      </c:catAx>
      <c:valAx>
        <c:axId val="17184737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ysClr val="windowText" lastClr="000000"/>
                    </a:solidFill>
                  </a:rPr>
                  <a:t>Profit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19050">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184783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[Sales_Report_By_Areesha..xlsx]Sheet1!PivotTable2</c:name>
    <c:fmtId val="0"/>
  </c:pivotSource>
  <c:chart>
    <c:autoTitleDeleted val="1"/>
    <c:pivotFmts>
      <c:pivotFmt>
        <c:idx val="0"/>
        <c:spPr>
          <a:solidFill>
            <a:schemeClr val="accent1"/>
          </a:solidFill>
          <a:ln w="19050">
            <a:solidFill>
              <a:schemeClr val="lt1"/>
            </a:solidFill>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rgbClr val="92D050"/>
          </a:solidFill>
          <a:ln w="19050">
            <a:solidFill>
              <a:schemeClr val="lt1"/>
            </a:solidFill>
          </a:ln>
          <a:effectLst/>
        </c:spPr>
      </c:pivotFmt>
      <c:pivotFmt>
        <c:idx val="2"/>
        <c:spPr>
          <a:solidFill>
            <a:srgbClr val="006664"/>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tx2">
              <a:lumMod val="60000"/>
              <a:lumOff val="40000"/>
            </a:schemeClr>
          </a:solidFill>
          <a:ln w="19050">
            <a:solidFill>
              <a:schemeClr val="lt1"/>
            </a:solidFill>
          </a:ln>
          <a:effectLst/>
        </c:spPr>
      </c:pivotFmt>
      <c:pivotFmt>
        <c:idx val="5"/>
        <c:spPr>
          <a:solidFill>
            <a:srgbClr val="FFC000"/>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rgbClr val="006664"/>
          </a:solidFill>
          <a:ln w="19050">
            <a:noFill/>
          </a:ln>
          <a:effectLst/>
        </c:spPr>
        <c:marker>
          <c:symbol val="none"/>
        </c:marker>
        <c:dLbl>
          <c:idx val="0"/>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418503937007874"/>
          <c:y val="0.13657407407407407"/>
          <c:w val="0.65446160588303326"/>
          <c:h val="0.77314814814814814"/>
        </c:manualLayout>
      </c:layout>
      <c:barChart>
        <c:barDir val="bar"/>
        <c:grouping val="clustered"/>
        <c:varyColors val="0"/>
        <c:ser>
          <c:idx val="0"/>
          <c:order val="0"/>
          <c:tx>
            <c:strRef>
              <c:f>Sheet1!$B$4</c:f>
              <c:strCache>
                <c:ptCount val="1"/>
                <c:pt idx="0">
                  <c:v>Total</c:v>
                </c:pt>
              </c:strCache>
            </c:strRef>
          </c:tx>
          <c:spPr>
            <a:solidFill>
              <a:srgbClr val="006664"/>
            </a:solidFill>
            <a:ln w="19050">
              <a:noFill/>
            </a:ln>
            <a:effectLst/>
          </c:spPr>
          <c:invertIfNegative val="0"/>
          <c:dPt>
            <c:idx val="0"/>
            <c:invertIfNegative val="0"/>
            <c:bubble3D val="0"/>
            <c:extLst>
              <c:ext xmlns:c16="http://schemas.microsoft.com/office/drawing/2014/chart" uri="{C3380CC4-5D6E-409C-BE32-E72D297353CC}">
                <c16:uniqueId val="{0000000E-1C57-4372-B0D3-EE2CA80F9036}"/>
              </c:ext>
            </c:extLst>
          </c:dPt>
          <c:dPt>
            <c:idx val="1"/>
            <c:invertIfNegative val="0"/>
            <c:bubble3D val="0"/>
            <c:extLst>
              <c:ext xmlns:c16="http://schemas.microsoft.com/office/drawing/2014/chart" uri="{C3380CC4-5D6E-409C-BE32-E72D297353CC}">
                <c16:uniqueId val="{0000000B-1C57-4372-B0D3-EE2CA80F9036}"/>
              </c:ext>
            </c:extLst>
          </c:dPt>
          <c:dPt>
            <c:idx val="2"/>
            <c:invertIfNegative val="0"/>
            <c:bubble3D val="0"/>
            <c:extLst>
              <c:ext xmlns:c16="http://schemas.microsoft.com/office/drawing/2014/chart" uri="{C3380CC4-5D6E-409C-BE32-E72D297353CC}">
                <c16:uniqueId val="{0000000F-1C57-4372-B0D3-EE2CA80F9036}"/>
              </c:ext>
            </c:extLst>
          </c:dPt>
          <c:dPt>
            <c:idx val="3"/>
            <c:invertIfNegative val="0"/>
            <c:bubble3D val="0"/>
            <c:extLst>
              <c:ext xmlns:c16="http://schemas.microsoft.com/office/drawing/2014/chart" uri="{C3380CC4-5D6E-409C-BE32-E72D297353CC}">
                <c16:uniqueId val="{0000000C-1C57-4372-B0D3-EE2CA80F9036}"/>
              </c:ext>
            </c:extLst>
          </c:dPt>
          <c:dPt>
            <c:idx val="4"/>
            <c:invertIfNegative val="0"/>
            <c:bubble3D val="0"/>
            <c:extLst>
              <c:ext xmlns:c16="http://schemas.microsoft.com/office/drawing/2014/chart" uri="{C3380CC4-5D6E-409C-BE32-E72D297353CC}">
                <c16:uniqueId val="{0000000D-1C57-4372-B0D3-EE2CA80F9036}"/>
              </c:ext>
            </c:extLst>
          </c:dPt>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Groceries</c:v>
                </c:pt>
                <c:pt idx="1">
                  <c:v>Sports</c:v>
                </c:pt>
                <c:pt idx="2">
                  <c:v>Clothing</c:v>
                </c:pt>
                <c:pt idx="3">
                  <c:v>Home Appliances</c:v>
                </c:pt>
                <c:pt idx="4">
                  <c:v>Electronics</c:v>
                </c:pt>
              </c:strCache>
            </c:strRef>
          </c:cat>
          <c:val>
            <c:numRef>
              <c:f>Sheet1!$B$5:$B$10</c:f>
              <c:numCache>
                <c:formatCode>General</c:formatCode>
                <c:ptCount val="5"/>
                <c:pt idx="0">
                  <c:v>854495</c:v>
                </c:pt>
                <c:pt idx="1">
                  <c:v>3124595</c:v>
                </c:pt>
                <c:pt idx="2">
                  <c:v>3323600</c:v>
                </c:pt>
                <c:pt idx="3">
                  <c:v>12344050</c:v>
                </c:pt>
                <c:pt idx="4">
                  <c:v>33322000</c:v>
                </c:pt>
              </c:numCache>
            </c:numRef>
          </c:val>
          <c:extLst>
            <c:ext xmlns:c16="http://schemas.microsoft.com/office/drawing/2014/chart" uri="{C3380CC4-5D6E-409C-BE32-E72D297353CC}">
              <c16:uniqueId val="{0000000A-1C57-4372-B0D3-EE2CA80F9036}"/>
            </c:ext>
          </c:extLst>
        </c:ser>
        <c:dLbls>
          <c:dLblPos val="outEnd"/>
          <c:showLegendKey val="0"/>
          <c:showVal val="1"/>
          <c:showCatName val="0"/>
          <c:showSerName val="0"/>
          <c:showPercent val="0"/>
          <c:showBubbleSize val="0"/>
        </c:dLbls>
        <c:gapWidth val="42"/>
        <c:axId val="755654767"/>
        <c:axId val="755651855"/>
      </c:barChart>
      <c:valAx>
        <c:axId val="755651855"/>
        <c:scaling>
          <c:orientation val="minMax"/>
        </c:scaling>
        <c:delete val="0"/>
        <c:axPos val="b"/>
        <c:numFmt formatCode="0,,&quot;M&quot;" sourceLinked="0"/>
        <c:majorTickMark val="none"/>
        <c:minorTickMark val="none"/>
        <c:tickLblPos val="nextTo"/>
        <c:spPr>
          <a:noFill/>
          <a:ln w="15875">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55654767"/>
        <c:crossBetween val="between"/>
      </c:valAx>
      <c:catAx>
        <c:axId val="755654767"/>
        <c:scaling>
          <c:orientation val="minMax"/>
        </c:scaling>
        <c:delete val="0"/>
        <c:axPos val="l"/>
        <c:numFmt formatCode="General" sourceLinked="1"/>
        <c:majorTickMark val="none"/>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55651855"/>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[Sales_Report_By_Areesha..xlsx]Pivot Tables!PivotTable3</c:name>
    <c:fmtId val="4"/>
  </c:pivotSource>
  <c:chart>
    <c:autoTitleDeleted val="1"/>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31750" cap="rnd" cmpd="sng" algn="ctr">
            <a:solidFill>
              <a:srgbClr val="006F6C">
                <a:alpha val="93000"/>
              </a:srgbClr>
            </a:solidFill>
            <a:round/>
          </a:ln>
          <a:effectLst/>
        </c:spPr>
        <c:marker>
          <c:symbol val="circle"/>
          <c:size val="4"/>
          <c:spPr>
            <a:solidFill>
              <a:srgbClr val="006F6C"/>
            </a:solidFill>
            <a:ln w="19050" cap="flat" cmpd="sng" algn="ctr">
              <a:solidFill>
                <a:srgbClr val="006F6C"/>
              </a:solidFill>
              <a:round/>
            </a:ln>
            <a:effectLst/>
          </c:spPr>
        </c:marke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31750" cap="rnd" cmpd="sng" algn="ctr">
            <a:solidFill>
              <a:srgbClr val="20BAB6"/>
            </a:solidFill>
            <a:round/>
          </a:ln>
          <a:effectLst/>
        </c:spPr>
        <c:marker>
          <c:symbol val="circle"/>
          <c:size val="4"/>
          <c:spPr>
            <a:solidFill>
              <a:srgbClr val="20BAB6"/>
            </a:solidFill>
            <a:ln w="15875" cap="flat" cmpd="sng" algn="ctr">
              <a:solidFill>
                <a:srgbClr val="20BAB6"/>
              </a:solidFill>
              <a:round/>
            </a:ln>
            <a:effectLst/>
          </c:spPr>
        </c:marke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31750" cap="rnd" cmpd="sng" algn="ctr">
            <a:solidFill>
              <a:srgbClr val="006F6C">
                <a:alpha val="93000"/>
              </a:srgbClr>
            </a:solidFill>
            <a:round/>
          </a:ln>
          <a:effectLst/>
        </c:spPr>
        <c:marker>
          <c:symbol val="circle"/>
          <c:size val="4"/>
          <c:spPr>
            <a:solidFill>
              <a:srgbClr val="006F6C"/>
            </a:solidFill>
            <a:ln w="19050" cap="flat" cmpd="sng" algn="ctr">
              <a:solidFill>
                <a:srgbClr val="006F6C"/>
              </a:solidFill>
              <a:round/>
            </a:ln>
            <a:effectLst/>
          </c:spPr>
        </c:marker>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31750" cap="rnd" cmpd="sng" algn="ctr">
            <a:solidFill>
              <a:srgbClr val="20BAB6"/>
            </a:solidFill>
            <a:round/>
          </a:ln>
          <a:effectLst/>
        </c:spPr>
        <c:marker>
          <c:symbol val="circle"/>
          <c:size val="4"/>
          <c:spPr>
            <a:solidFill>
              <a:srgbClr val="20BAB6"/>
            </a:solidFill>
            <a:ln w="15875" cap="flat" cmpd="sng" algn="ctr">
              <a:solidFill>
                <a:srgbClr val="20BAB6"/>
              </a:solidFill>
              <a:round/>
            </a:ln>
            <a:effectLst/>
          </c:spPr>
        </c:marker>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31750" cap="rnd" cmpd="sng" algn="ctr">
            <a:solidFill>
              <a:srgbClr val="006F6C">
                <a:alpha val="93000"/>
              </a:srgbClr>
            </a:solidFill>
            <a:round/>
          </a:ln>
          <a:effectLst/>
        </c:spPr>
        <c:marker>
          <c:symbol val="circle"/>
          <c:size val="4"/>
          <c:spPr>
            <a:solidFill>
              <a:srgbClr val="006F6C"/>
            </a:solidFill>
            <a:ln w="19050" cap="flat" cmpd="sng" algn="ctr">
              <a:solidFill>
                <a:srgbClr val="006F6C"/>
              </a:solidFill>
              <a:round/>
            </a:ln>
            <a:effectLst/>
          </c:spPr>
        </c:marker>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31750" cap="rnd" cmpd="sng" algn="ctr">
            <a:solidFill>
              <a:srgbClr val="20BAB6"/>
            </a:solidFill>
            <a:round/>
          </a:ln>
          <a:effectLst/>
        </c:spPr>
        <c:marker>
          <c:symbol val="circle"/>
          <c:size val="4"/>
          <c:spPr>
            <a:solidFill>
              <a:srgbClr val="20BAB6"/>
            </a:solidFill>
            <a:ln w="15875" cap="flat" cmpd="sng" algn="ctr">
              <a:solidFill>
                <a:srgbClr val="20BAB6"/>
              </a:solidFill>
              <a:round/>
            </a:ln>
            <a:effectLst/>
          </c:spPr>
        </c:marker>
      </c:pivotFmt>
      <c:pivotFmt>
        <c:idx val="12"/>
        <c:spPr>
          <a:ln w="34925" cap="rnd" cmpd="sng" algn="ctr">
            <a:solidFill>
              <a:srgbClr val="006664"/>
            </a:solidFill>
            <a:round/>
          </a:ln>
          <a:effectLst/>
        </c:spPr>
        <c:marker>
          <c:symbol val="circle"/>
          <c:size val="4"/>
          <c:spPr>
            <a:solidFill>
              <a:schemeClr val="tx2">
                <a:lumMod val="75000"/>
              </a:schemeClr>
            </a:solidFill>
            <a:ln w="19050" cap="flat" cmpd="sng" algn="ctr">
              <a:solidFill>
                <a:srgbClr val="006664"/>
              </a:solidFill>
              <a:round/>
            </a:ln>
            <a:effectLst/>
          </c:spPr>
        </c:marker>
      </c:pivotFmt>
      <c:pivotFmt>
        <c:idx val="13"/>
        <c:spPr>
          <a:ln w="31750" cap="rnd" cmpd="sng" algn="ctr">
            <a:solidFill>
              <a:srgbClr val="20BAB6"/>
            </a:solidFill>
            <a:round/>
          </a:ln>
          <a:effectLst/>
        </c:spPr>
        <c:marker>
          <c:symbol val="circle"/>
          <c:size val="4"/>
          <c:spPr>
            <a:solidFill>
              <a:srgbClr val="006664"/>
            </a:solidFill>
            <a:ln w="19050" cap="flat" cmpd="sng" algn="ctr">
              <a:solidFill>
                <a:srgbClr val="006664"/>
              </a:solidFill>
              <a:round/>
            </a:ln>
            <a:effectLst/>
          </c:spPr>
        </c:marker>
      </c:pivotFmt>
    </c:pivotFmts>
    <c:plotArea>
      <c:layout>
        <c:manualLayout>
          <c:layoutTarget val="inner"/>
          <c:xMode val="edge"/>
          <c:yMode val="edge"/>
          <c:x val="9.0477544161087303E-2"/>
          <c:y val="0.14148209129964856"/>
          <c:w val="0.7467433386684994"/>
          <c:h val="0.64139358817771541"/>
        </c:manualLayout>
      </c:layout>
      <c:lineChart>
        <c:grouping val="standard"/>
        <c:varyColors val="0"/>
        <c:ser>
          <c:idx val="0"/>
          <c:order val="0"/>
          <c:tx>
            <c:strRef>
              <c:f>'Pivot Tables'!$F$18</c:f>
              <c:strCache>
                <c:ptCount val="1"/>
                <c:pt idx="0">
                  <c:v> Revenue (PKR)</c:v>
                </c:pt>
              </c:strCache>
            </c:strRef>
          </c:tx>
          <c:spPr>
            <a:ln w="34925" cap="rnd" cmpd="sng" algn="ctr">
              <a:solidFill>
                <a:srgbClr val="006664"/>
              </a:solidFill>
              <a:round/>
            </a:ln>
            <a:effectLst/>
          </c:spPr>
          <c:marker>
            <c:symbol val="circle"/>
            <c:size val="4"/>
            <c:spPr>
              <a:solidFill>
                <a:schemeClr val="tx2">
                  <a:lumMod val="75000"/>
                </a:schemeClr>
              </a:solidFill>
              <a:ln w="19050" cap="flat" cmpd="sng" algn="ctr">
                <a:solidFill>
                  <a:srgbClr val="006664"/>
                </a:solidFill>
                <a:round/>
              </a:ln>
              <a:effectLst/>
            </c:spPr>
          </c:marker>
          <c:cat>
            <c:strRef>
              <c:f>'Pivot Tables'!$E$19:$E$31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Tables'!$F$19:$F$31</c:f>
              <c:numCache>
                <c:formatCode>General</c:formatCode>
                <c:ptCount val="12"/>
                <c:pt idx="0">
                  <c:v>2460695</c:v>
                </c:pt>
                <c:pt idx="1">
                  <c:v>3132285</c:v>
                </c:pt>
                <c:pt idx="2">
                  <c:v>5513990</c:v>
                </c:pt>
                <c:pt idx="3">
                  <c:v>4273160</c:v>
                </c:pt>
                <c:pt idx="4">
                  <c:v>5450265</c:v>
                </c:pt>
                <c:pt idx="5">
                  <c:v>4061155</c:v>
                </c:pt>
                <c:pt idx="6">
                  <c:v>4147310</c:v>
                </c:pt>
                <c:pt idx="7">
                  <c:v>4014755</c:v>
                </c:pt>
                <c:pt idx="8">
                  <c:v>6048320</c:v>
                </c:pt>
                <c:pt idx="9">
                  <c:v>4181445</c:v>
                </c:pt>
                <c:pt idx="10">
                  <c:v>4251165</c:v>
                </c:pt>
                <c:pt idx="11">
                  <c:v>5434195</c:v>
                </c:pt>
              </c:numCache>
            </c:numRef>
          </c:val>
          <c:smooth val="0"/>
          <c:extLst>
            <c:ext xmlns:c16="http://schemas.microsoft.com/office/drawing/2014/chart" uri="{C3380CC4-5D6E-409C-BE32-E72D297353CC}">
              <c16:uniqueId val="{00000000-538A-417D-BC0A-0F758E926C9A}"/>
            </c:ext>
          </c:extLst>
        </c:ser>
        <c:ser>
          <c:idx val="1"/>
          <c:order val="1"/>
          <c:tx>
            <c:strRef>
              <c:f>'Pivot Tables'!$G$18</c:f>
              <c:strCache>
                <c:ptCount val="1"/>
                <c:pt idx="0">
                  <c:v> Profit (PKR)</c:v>
                </c:pt>
              </c:strCache>
            </c:strRef>
          </c:tx>
          <c:spPr>
            <a:ln w="31750" cap="rnd" cmpd="sng" algn="ctr">
              <a:solidFill>
                <a:srgbClr val="20BAB6"/>
              </a:solidFill>
              <a:round/>
            </a:ln>
            <a:effectLst/>
          </c:spPr>
          <c:marker>
            <c:symbol val="circle"/>
            <c:size val="4"/>
            <c:spPr>
              <a:solidFill>
                <a:srgbClr val="006664"/>
              </a:solidFill>
              <a:ln w="19050" cap="flat" cmpd="sng" algn="ctr">
                <a:solidFill>
                  <a:srgbClr val="006664"/>
                </a:solidFill>
                <a:round/>
              </a:ln>
              <a:effectLst/>
            </c:spPr>
          </c:marker>
          <c:cat>
            <c:strRef>
              <c:f>'Pivot Tables'!$E$19:$E$31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Tables'!$G$19:$G$31</c:f>
              <c:numCache>
                <c:formatCode>General</c:formatCode>
                <c:ptCount val="12"/>
                <c:pt idx="0">
                  <c:v>552595</c:v>
                </c:pt>
                <c:pt idx="1">
                  <c:v>856405</c:v>
                </c:pt>
                <c:pt idx="2">
                  <c:v>878230</c:v>
                </c:pt>
                <c:pt idx="3">
                  <c:v>321160</c:v>
                </c:pt>
                <c:pt idx="4">
                  <c:v>861585</c:v>
                </c:pt>
                <c:pt idx="5">
                  <c:v>971535</c:v>
                </c:pt>
                <c:pt idx="6">
                  <c:v>800830</c:v>
                </c:pt>
                <c:pt idx="7">
                  <c:v>688915</c:v>
                </c:pt>
                <c:pt idx="8">
                  <c:v>1083020</c:v>
                </c:pt>
                <c:pt idx="9">
                  <c:v>802725</c:v>
                </c:pt>
                <c:pt idx="10">
                  <c:v>762365</c:v>
                </c:pt>
                <c:pt idx="11">
                  <c:v>550515</c:v>
                </c:pt>
              </c:numCache>
            </c:numRef>
          </c:val>
          <c:smooth val="0"/>
          <c:extLst>
            <c:ext xmlns:c16="http://schemas.microsoft.com/office/drawing/2014/chart" uri="{C3380CC4-5D6E-409C-BE32-E72D297353CC}">
              <c16:uniqueId val="{00000001-538A-417D-BC0A-0F758E926C9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29146351"/>
        <c:axId val="1729143439"/>
      </c:lineChart>
      <c:catAx>
        <c:axId val="1729146351"/>
        <c:scaling>
          <c:orientation val="minMax"/>
        </c:scaling>
        <c:delete val="0"/>
        <c:axPos val="b"/>
        <c:title>
          <c:tx>
            <c:rich>
              <a:bodyPr rot="0" spcFirstLastPara="1" vertOverflow="ellipsis" vert="horz" wrap="square" anchor="ctr" anchorCtr="1"/>
              <a:lstStyle/>
              <a:p>
                <a:pPr>
                  <a:defRPr sz="1100" b="1" i="0" u="none" strike="noStrike" kern="1200" cap="all" baseline="0">
                    <a:solidFill>
                      <a:schemeClr val="tx1"/>
                    </a:solidFill>
                    <a:latin typeface="+mn-lt"/>
                    <a:ea typeface="+mn-ea"/>
                    <a:cs typeface="+mn-cs"/>
                  </a:defRPr>
                </a:pPr>
                <a:r>
                  <a:rPr lang="en-US" sz="1100" b="1">
                    <a:solidFill>
                      <a:schemeClr val="tx1"/>
                    </a:solidFill>
                  </a:rPr>
                  <a:t>Months</a:t>
                </a:r>
              </a:p>
            </c:rich>
          </c:tx>
          <c:layout/>
          <c:overlay val="0"/>
          <c:spPr>
            <a:noFill/>
            <a:ln>
              <a:noFill/>
            </a:ln>
            <a:effectLst/>
          </c:spPr>
          <c:txPr>
            <a:bodyPr rot="0" spcFirstLastPara="1" vertOverflow="ellipsis" vert="horz" wrap="square" anchor="ctr" anchorCtr="1"/>
            <a:lstStyle/>
            <a:p>
              <a:pPr>
                <a:defRPr sz="11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1729143439"/>
        <c:crosses val="autoZero"/>
        <c:auto val="1"/>
        <c:lblAlgn val="ctr"/>
        <c:lblOffset val="100"/>
        <c:noMultiLvlLbl val="0"/>
      </c:catAx>
      <c:valAx>
        <c:axId val="1729143439"/>
        <c:scaling>
          <c:orientation val="minMax"/>
        </c:scaling>
        <c:delete val="0"/>
        <c:axPos val="l"/>
        <c:numFmt formatCode="0,,&quot;M&quot;" sourceLinked="0"/>
        <c:majorTickMark val="none"/>
        <c:minorTickMark val="none"/>
        <c:tickLblPos val="nextTo"/>
        <c:spPr>
          <a:noFill/>
          <a:ln w="19050">
            <a:solidFill>
              <a:schemeClr val="tx1"/>
            </a:solidFill>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1729146351"/>
        <c:crosses val="autoZero"/>
        <c:crossBetween val="between"/>
      </c:valAx>
      <c:spPr>
        <a:noFill/>
        <a:ln>
          <a:noFill/>
        </a:ln>
        <a:effectLst/>
      </c:spPr>
    </c:plotArea>
    <c:legend>
      <c:legendPos val="r"/>
      <c:layout>
        <c:manualLayout>
          <c:xMode val="edge"/>
          <c:yMode val="edge"/>
          <c:x val="0.82330537548302474"/>
          <c:y val="5.4280389347166391E-2"/>
          <c:w val="0.15175122496364571"/>
          <c:h val="0.31355685327946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222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Pivot Tables'!A1"/><Relationship Id="rId1" Type="http://schemas.openxmlformats.org/officeDocument/2006/relationships/hyperlink" Target="#'Original Data'!A1"/><Relationship Id="rId4" Type="http://schemas.openxmlformats.org/officeDocument/2006/relationships/hyperlink" Target="#Report!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4.xml"/><Relationship Id="rId5" Type="http://schemas.openxmlformats.org/officeDocument/2006/relationships/image" Target="../media/image6.png"/><Relationship Id="rId10" Type="http://schemas.openxmlformats.org/officeDocument/2006/relationships/chart" Target="../charts/chart3.xml"/><Relationship Id="rId4" Type="http://schemas.openxmlformats.org/officeDocument/2006/relationships/image" Target="../media/image5.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268063</xdr:colOff>
      <xdr:row>0</xdr:row>
      <xdr:rowOff>141967</xdr:rowOff>
    </xdr:from>
    <xdr:to>
      <xdr:col>13</xdr:col>
      <xdr:colOff>993321</xdr:colOff>
      <xdr:row>1</xdr:row>
      <xdr:rowOff>244928</xdr:rowOff>
    </xdr:to>
    <xdr:sp macro="" textlink="">
      <xdr:nvSpPr>
        <xdr:cNvPr id="2" name="Rounded Rectangle 1"/>
        <xdr:cNvSpPr/>
      </xdr:nvSpPr>
      <xdr:spPr>
        <a:xfrm>
          <a:off x="404134" y="141967"/>
          <a:ext cx="16672830" cy="742497"/>
        </a:xfrm>
        <a:prstGeom prst="roundRect">
          <a:avLst/>
        </a:prstGeom>
        <a:solidFill>
          <a:srgbClr val="006664"/>
        </a:solidFill>
        <a:ln w="12700">
          <a:solidFill>
            <a:schemeClr val="tx1">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 </a:t>
          </a:r>
          <a:r>
            <a:rPr lang="en-US" sz="3200" b="1">
              <a:solidFill>
                <a:schemeClr val="bg1"/>
              </a:solidFill>
            </a:rPr>
            <a:t>FORMULA &amp; ANALYSIS </a:t>
          </a:r>
        </a:p>
      </xdr:txBody>
    </xdr:sp>
    <xdr:clientData/>
  </xdr:twoCellAnchor>
  <xdr:twoCellAnchor>
    <xdr:from>
      <xdr:col>2</xdr:col>
      <xdr:colOff>1620043</xdr:colOff>
      <xdr:row>2</xdr:row>
      <xdr:rowOff>232721</xdr:rowOff>
    </xdr:from>
    <xdr:to>
      <xdr:col>5</xdr:col>
      <xdr:colOff>31750</xdr:colOff>
      <xdr:row>2</xdr:row>
      <xdr:rowOff>238125</xdr:rowOff>
    </xdr:to>
    <xdr:cxnSp macro="">
      <xdr:nvCxnSpPr>
        <xdr:cNvPr id="4" name="Straight Connector 3"/>
        <xdr:cNvCxnSpPr/>
      </xdr:nvCxnSpPr>
      <xdr:spPr>
        <a:xfrm>
          <a:off x="3159918" y="1470971"/>
          <a:ext cx="2983707" cy="5404"/>
        </a:xfrm>
        <a:prstGeom prst="line">
          <a:avLst/>
        </a:prstGeom>
        <a:ln w="222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1553936</xdr:colOff>
      <xdr:row>1</xdr:row>
      <xdr:rowOff>481960</xdr:rowOff>
    </xdr:from>
    <xdr:to>
      <xdr:col>5</xdr:col>
      <xdr:colOff>619126</xdr:colOff>
      <xdr:row>2</xdr:row>
      <xdr:rowOff>328841</xdr:rowOff>
    </xdr:to>
    <xdr:sp macro="" textlink="">
      <xdr:nvSpPr>
        <xdr:cNvPr id="7" name="Rectangle 6"/>
        <xdr:cNvSpPr/>
      </xdr:nvSpPr>
      <xdr:spPr>
        <a:xfrm>
          <a:off x="3093811" y="1116960"/>
          <a:ext cx="3637190" cy="4501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6664"/>
              </a:solidFill>
            </a:rPr>
            <a:t>Salesperson Summary Table </a:t>
          </a:r>
          <a:r>
            <a:rPr lang="en-US" sz="1600"/>
            <a:t>Summary </a:t>
          </a:r>
        </a:p>
      </xdr:txBody>
    </xdr:sp>
    <xdr:clientData/>
  </xdr:twoCellAnchor>
  <xdr:twoCellAnchor>
    <xdr:from>
      <xdr:col>4</xdr:col>
      <xdr:colOff>1439353</xdr:colOff>
      <xdr:row>14</xdr:row>
      <xdr:rowOff>263830</xdr:rowOff>
    </xdr:from>
    <xdr:to>
      <xdr:col>6</xdr:col>
      <xdr:colOff>1137918</xdr:colOff>
      <xdr:row>16</xdr:row>
      <xdr:rowOff>146278</xdr:rowOff>
    </xdr:to>
    <xdr:sp macro="" textlink="">
      <xdr:nvSpPr>
        <xdr:cNvPr id="8" name="Rectangle 7"/>
        <xdr:cNvSpPr/>
      </xdr:nvSpPr>
      <xdr:spPr>
        <a:xfrm>
          <a:off x="5970532" y="4223509"/>
          <a:ext cx="2896243" cy="494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 </a:t>
          </a:r>
          <a:r>
            <a:rPr lang="en-US" sz="1800" b="1">
              <a:solidFill>
                <a:srgbClr val="006664"/>
              </a:solidFill>
            </a:rPr>
            <a:t>Regional Performance  </a:t>
          </a:r>
        </a:p>
      </xdr:txBody>
    </xdr:sp>
    <xdr:clientData/>
  </xdr:twoCellAnchor>
  <xdr:twoCellAnchor>
    <xdr:from>
      <xdr:col>9</xdr:col>
      <xdr:colOff>1433068</xdr:colOff>
      <xdr:row>2</xdr:row>
      <xdr:rowOff>220739</xdr:rowOff>
    </xdr:from>
    <xdr:to>
      <xdr:col>11</xdr:col>
      <xdr:colOff>653143</xdr:colOff>
      <xdr:row>2</xdr:row>
      <xdr:rowOff>231322</xdr:rowOff>
    </xdr:to>
    <xdr:cxnSp macro="">
      <xdr:nvCxnSpPr>
        <xdr:cNvPr id="10" name="Straight Connector 9"/>
        <xdr:cNvCxnSpPr/>
      </xdr:nvCxnSpPr>
      <xdr:spPr>
        <a:xfrm>
          <a:off x="13135211" y="1458989"/>
          <a:ext cx="2050361" cy="10583"/>
        </a:xfrm>
        <a:prstGeom prst="line">
          <a:avLst/>
        </a:prstGeom>
        <a:ln w="222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1320613</xdr:colOff>
      <xdr:row>14</xdr:row>
      <xdr:rowOff>261631</xdr:rowOff>
    </xdr:from>
    <xdr:to>
      <xdr:col>11</xdr:col>
      <xdr:colOff>1428752</xdr:colOff>
      <xdr:row>16</xdr:row>
      <xdr:rowOff>122463</xdr:rowOff>
    </xdr:to>
    <xdr:sp macro="" textlink="">
      <xdr:nvSpPr>
        <xdr:cNvPr id="16" name="Rectangle 15"/>
        <xdr:cNvSpPr/>
      </xdr:nvSpPr>
      <xdr:spPr>
        <a:xfrm>
          <a:off x="13022756" y="3989988"/>
          <a:ext cx="2938425" cy="4731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solidFill>
                <a:srgbClr val="006664"/>
              </a:solidFill>
            </a:rPr>
            <a:t>Customer Type Analysis </a:t>
          </a:r>
        </a:p>
      </xdr:txBody>
    </xdr:sp>
    <xdr:clientData/>
  </xdr:twoCellAnchor>
  <xdr:twoCellAnchor>
    <xdr:from>
      <xdr:col>9</xdr:col>
      <xdr:colOff>1433211</xdr:colOff>
      <xdr:row>16</xdr:row>
      <xdr:rowOff>51862</xdr:rowOff>
    </xdr:from>
    <xdr:to>
      <xdr:col>11</xdr:col>
      <xdr:colOff>1115785</xdr:colOff>
      <xdr:row>16</xdr:row>
      <xdr:rowOff>68035</xdr:rowOff>
    </xdr:to>
    <xdr:cxnSp macro="">
      <xdr:nvCxnSpPr>
        <xdr:cNvPr id="17" name="Straight Connector 16"/>
        <xdr:cNvCxnSpPr/>
      </xdr:nvCxnSpPr>
      <xdr:spPr>
        <a:xfrm>
          <a:off x="13135354" y="4392541"/>
          <a:ext cx="2512860" cy="16173"/>
        </a:xfrm>
        <a:prstGeom prst="line">
          <a:avLst/>
        </a:prstGeom>
        <a:ln w="222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804145</xdr:colOff>
      <xdr:row>1</xdr:row>
      <xdr:rowOff>313913</xdr:rowOff>
    </xdr:from>
    <xdr:to>
      <xdr:col>11</xdr:col>
      <xdr:colOff>1376591</xdr:colOff>
      <xdr:row>3</xdr:row>
      <xdr:rowOff>63503</xdr:rowOff>
    </xdr:to>
    <xdr:sp macro="" textlink="">
      <xdr:nvSpPr>
        <xdr:cNvPr id="9" name="Rectangle 8"/>
        <xdr:cNvSpPr/>
      </xdr:nvSpPr>
      <xdr:spPr>
        <a:xfrm>
          <a:off x="13254681" y="953449"/>
          <a:ext cx="2844839" cy="7156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 </a:t>
          </a:r>
          <a:r>
            <a:rPr lang="en-US" sz="1800" b="1">
              <a:solidFill>
                <a:srgbClr val="006664"/>
              </a:solidFill>
            </a:rPr>
            <a:t>Salesperson Ranking</a:t>
          </a:r>
        </a:p>
      </xdr:txBody>
    </xdr:sp>
    <xdr:clientData/>
  </xdr:twoCellAnchor>
  <xdr:twoCellAnchor>
    <xdr:from>
      <xdr:col>9</xdr:col>
      <xdr:colOff>789441</xdr:colOff>
      <xdr:row>21</xdr:row>
      <xdr:rowOff>154026</xdr:rowOff>
    </xdr:from>
    <xdr:to>
      <xdr:col>15</xdr:col>
      <xdr:colOff>3024</xdr:colOff>
      <xdr:row>23</xdr:row>
      <xdr:rowOff>113809</xdr:rowOff>
    </xdr:to>
    <xdr:sp macro="" textlink="">
      <xdr:nvSpPr>
        <xdr:cNvPr id="13" name="Rectangle 12"/>
        <xdr:cNvSpPr/>
      </xdr:nvSpPr>
      <xdr:spPr>
        <a:xfrm>
          <a:off x="13235441" y="5519776"/>
          <a:ext cx="6754208" cy="3407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a:solidFill>
                <a:srgbClr val="006664"/>
              </a:solidFill>
            </a:rPr>
            <a:t> </a:t>
          </a:r>
          <a:r>
            <a:rPr lang="en-US" sz="1800" b="1">
              <a:solidFill>
                <a:srgbClr val="006664"/>
              </a:solidFill>
            </a:rPr>
            <a:t>Discount Impact What-If</a:t>
          </a:r>
        </a:p>
      </xdr:txBody>
    </xdr:sp>
    <xdr:clientData/>
  </xdr:twoCellAnchor>
  <xdr:twoCellAnchor>
    <xdr:from>
      <xdr:col>10</xdr:col>
      <xdr:colOff>32656</xdr:colOff>
      <xdr:row>23</xdr:row>
      <xdr:rowOff>97518</xdr:rowOff>
    </xdr:from>
    <xdr:to>
      <xdr:col>11</xdr:col>
      <xdr:colOff>1052285</xdr:colOff>
      <xdr:row>23</xdr:row>
      <xdr:rowOff>97519</xdr:rowOff>
    </xdr:to>
    <xdr:cxnSp macro="">
      <xdr:nvCxnSpPr>
        <xdr:cNvPr id="14" name="Straight Connector 13"/>
        <xdr:cNvCxnSpPr/>
      </xdr:nvCxnSpPr>
      <xdr:spPr>
        <a:xfrm>
          <a:off x="13367656" y="5844268"/>
          <a:ext cx="2400754" cy="1"/>
        </a:xfrm>
        <a:prstGeom prst="line">
          <a:avLst/>
        </a:prstGeom>
        <a:ln w="222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1548525</xdr:colOff>
      <xdr:row>16</xdr:row>
      <xdr:rowOff>64067</xdr:rowOff>
    </xdr:from>
    <xdr:to>
      <xdr:col>6</xdr:col>
      <xdr:colOff>1061357</xdr:colOff>
      <xdr:row>16</xdr:row>
      <xdr:rowOff>81643</xdr:rowOff>
    </xdr:to>
    <xdr:cxnSp macro="">
      <xdr:nvCxnSpPr>
        <xdr:cNvPr id="15" name="Straight Connector 14"/>
        <xdr:cNvCxnSpPr/>
      </xdr:nvCxnSpPr>
      <xdr:spPr>
        <a:xfrm>
          <a:off x="6079704" y="4636067"/>
          <a:ext cx="2710510" cy="17576"/>
        </a:xfrm>
        <a:prstGeom prst="line">
          <a:avLst/>
        </a:prstGeom>
        <a:ln w="222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33338</xdr:colOff>
      <xdr:row>27</xdr:row>
      <xdr:rowOff>20410</xdr:rowOff>
    </xdr:from>
    <xdr:to>
      <xdr:col>3</xdr:col>
      <xdr:colOff>1279072</xdr:colOff>
      <xdr:row>27</xdr:row>
      <xdr:rowOff>489857</xdr:rowOff>
    </xdr:to>
    <xdr:sp macro="" textlink="">
      <xdr:nvSpPr>
        <xdr:cNvPr id="25" name="Rectangle 24"/>
        <xdr:cNvSpPr/>
      </xdr:nvSpPr>
      <xdr:spPr>
        <a:xfrm>
          <a:off x="33338" y="6320517"/>
          <a:ext cx="4144055" cy="4694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 </a:t>
          </a:r>
          <a:r>
            <a:rPr lang="en-US" sz="1800" b="1">
              <a:solidFill>
                <a:srgbClr val="006664"/>
              </a:solidFill>
            </a:rPr>
            <a:t>Category-wise Monthly Breakdown</a:t>
          </a:r>
        </a:p>
      </xdr:txBody>
    </xdr:sp>
    <xdr:clientData/>
  </xdr:twoCellAnchor>
  <xdr:twoCellAnchor>
    <xdr:from>
      <xdr:col>0</xdr:col>
      <xdr:colOff>1095375</xdr:colOff>
      <xdr:row>27</xdr:row>
      <xdr:rowOff>404812</xdr:rowOff>
    </xdr:from>
    <xdr:to>
      <xdr:col>3</xdr:col>
      <xdr:colOff>1012027</xdr:colOff>
      <xdr:row>27</xdr:row>
      <xdr:rowOff>412750</xdr:rowOff>
    </xdr:to>
    <xdr:cxnSp macro="">
      <xdr:nvCxnSpPr>
        <xdr:cNvPr id="26" name="Straight Connector 25"/>
        <xdr:cNvCxnSpPr/>
      </xdr:nvCxnSpPr>
      <xdr:spPr>
        <a:xfrm flipV="1">
          <a:off x="1095375" y="6512718"/>
          <a:ext cx="3786183" cy="7938"/>
        </a:xfrm>
        <a:prstGeom prst="line">
          <a:avLst/>
        </a:prstGeom>
        <a:ln w="222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1281546</xdr:colOff>
      <xdr:row>1</xdr:row>
      <xdr:rowOff>543419</xdr:rowOff>
    </xdr:from>
    <xdr:to>
      <xdr:col>2</xdr:col>
      <xdr:colOff>1108364</xdr:colOff>
      <xdr:row>26</xdr:row>
      <xdr:rowOff>171944</xdr:rowOff>
    </xdr:to>
    <xdr:sp macro="" textlink="">
      <xdr:nvSpPr>
        <xdr:cNvPr id="35" name="Rounded Rectangle 34"/>
        <xdr:cNvSpPr/>
      </xdr:nvSpPr>
      <xdr:spPr>
        <a:xfrm>
          <a:off x="1420091" y="1184192"/>
          <a:ext cx="1229591" cy="6192116"/>
        </a:xfrm>
        <a:prstGeom prst="roundRect">
          <a:avLst/>
        </a:prstGeom>
        <a:solidFill>
          <a:srgbClr val="0066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4</xdr:col>
      <xdr:colOff>1483841</xdr:colOff>
      <xdr:row>17</xdr:row>
      <xdr:rowOff>0</xdr:rowOff>
    </xdr:from>
    <xdr:to>
      <xdr:col>4</xdr:col>
      <xdr:colOff>1565152</xdr:colOff>
      <xdr:row>26</xdr:row>
      <xdr:rowOff>11616</xdr:rowOff>
    </xdr:to>
    <xdr:sp macro="" textlink="">
      <xdr:nvSpPr>
        <xdr:cNvPr id="38" name="Rectangle 37"/>
        <xdr:cNvSpPr/>
      </xdr:nvSpPr>
      <xdr:spPr>
        <a:xfrm>
          <a:off x="6015020" y="4762500"/>
          <a:ext cx="81311" cy="246090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1573117</xdr:colOff>
      <xdr:row>15</xdr:row>
      <xdr:rowOff>33852</xdr:rowOff>
    </xdr:from>
    <xdr:to>
      <xdr:col>4</xdr:col>
      <xdr:colOff>1362370</xdr:colOff>
      <xdr:row>16</xdr:row>
      <xdr:rowOff>114498</xdr:rowOff>
    </xdr:to>
    <xdr:sp macro="" textlink="">
      <xdr:nvSpPr>
        <xdr:cNvPr id="39" name="Rectangle 38"/>
        <xdr:cNvSpPr/>
      </xdr:nvSpPr>
      <xdr:spPr>
        <a:xfrm>
          <a:off x="3124331" y="4306495"/>
          <a:ext cx="2769218" cy="38000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solidFill>
                <a:srgbClr val="006664"/>
              </a:solidFill>
            </a:rPr>
            <a:t> KPIs </a:t>
          </a:r>
        </a:p>
      </xdr:txBody>
    </xdr:sp>
    <xdr:clientData/>
  </xdr:twoCellAnchor>
  <xdr:twoCellAnchor>
    <xdr:from>
      <xdr:col>3</xdr:col>
      <xdr:colOff>60072</xdr:colOff>
      <xdr:row>16</xdr:row>
      <xdr:rowOff>68008</xdr:rowOff>
    </xdr:from>
    <xdr:to>
      <xdr:col>4</xdr:col>
      <xdr:colOff>682681</xdr:colOff>
      <xdr:row>16</xdr:row>
      <xdr:rowOff>71686</xdr:rowOff>
    </xdr:to>
    <xdr:cxnSp macro="">
      <xdr:nvCxnSpPr>
        <xdr:cNvPr id="40" name="Straight Connector 39"/>
        <xdr:cNvCxnSpPr/>
      </xdr:nvCxnSpPr>
      <xdr:spPr>
        <a:xfrm>
          <a:off x="3244143" y="4640008"/>
          <a:ext cx="1969717" cy="3678"/>
        </a:xfrm>
        <a:prstGeom prst="line">
          <a:avLst/>
        </a:prstGeom>
        <a:ln w="222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1245673</xdr:colOff>
      <xdr:row>2</xdr:row>
      <xdr:rowOff>59377</xdr:rowOff>
    </xdr:from>
    <xdr:to>
      <xdr:col>2</xdr:col>
      <xdr:colOff>1143000</xdr:colOff>
      <xdr:row>7</xdr:row>
      <xdr:rowOff>17318</xdr:rowOff>
    </xdr:to>
    <xdr:sp macro="" textlink="">
      <xdr:nvSpPr>
        <xdr:cNvPr id="43" name="TextBox 42">
          <a:hlinkClick xmlns:r="http://schemas.openxmlformats.org/officeDocument/2006/relationships" r:id="rId1"/>
        </xdr:cNvPr>
        <xdr:cNvSpPr txBox="1"/>
      </xdr:nvSpPr>
      <xdr:spPr>
        <a:xfrm>
          <a:off x="1384218" y="1306286"/>
          <a:ext cx="1300100" cy="1343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600" b="1">
              <a:solidFill>
                <a:schemeClr val="bg1"/>
              </a:solidFill>
              <a:sym typeface="Wingdings" panose="05000000000000000000" pitchFamily="2" charset="2"/>
            </a:rPr>
            <a:t></a:t>
          </a:r>
          <a:endParaRPr lang="en-US" sz="6600" b="1">
            <a:solidFill>
              <a:schemeClr val="bg1"/>
            </a:solidFill>
          </a:endParaRPr>
        </a:p>
      </xdr:txBody>
    </xdr:sp>
    <xdr:clientData/>
  </xdr:twoCellAnchor>
  <xdr:twoCellAnchor>
    <xdr:from>
      <xdr:col>1</xdr:col>
      <xdr:colOff>1246910</xdr:colOff>
      <xdr:row>6</xdr:row>
      <xdr:rowOff>51954</xdr:rowOff>
    </xdr:from>
    <xdr:to>
      <xdr:col>2</xdr:col>
      <xdr:colOff>1091045</xdr:colOff>
      <xdr:row>11</xdr:row>
      <xdr:rowOff>173182</xdr:rowOff>
    </xdr:to>
    <xdr:sp macro="" textlink="">
      <xdr:nvSpPr>
        <xdr:cNvPr id="44" name="TextBox 43">
          <a:hlinkClick xmlns:r="http://schemas.openxmlformats.org/officeDocument/2006/relationships" r:id="rId2"/>
        </xdr:cNvPr>
        <xdr:cNvSpPr txBox="1"/>
      </xdr:nvSpPr>
      <xdr:spPr>
        <a:xfrm>
          <a:off x="1385455" y="2493818"/>
          <a:ext cx="1246908" cy="1073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600" b="1">
              <a:solidFill>
                <a:schemeClr val="bg1"/>
              </a:solidFill>
              <a:sym typeface="Wingdings" panose="05000000000000000000" pitchFamily="2" charset="2"/>
            </a:rPr>
            <a:t></a:t>
          </a:r>
          <a:endParaRPr lang="en-US" sz="6600" b="1">
            <a:solidFill>
              <a:schemeClr val="bg1"/>
            </a:solidFill>
          </a:endParaRPr>
        </a:p>
      </xdr:txBody>
    </xdr:sp>
    <xdr:clientData/>
  </xdr:twoCellAnchor>
  <xdr:twoCellAnchor>
    <xdr:from>
      <xdr:col>1</xdr:col>
      <xdr:colOff>1297625</xdr:colOff>
      <xdr:row>10</xdr:row>
      <xdr:rowOff>155865</xdr:rowOff>
    </xdr:from>
    <xdr:to>
      <xdr:col>2</xdr:col>
      <xdr:colOff>1039091</xdr:colOff>
      <xdr:row>14</xdr:row>
      <xdr:rowOff>1</xdr:rowOff>
    </xdr:to>
    <xdr:sp macro="" textlink="">
      <xdr:nvSpPr>
        <xdr:cNvPr id="45" name="TextBox 44">
          <a:hlinkClick xmlns:r="http://schemas.openxmlformats.org/officeDocument/2006/relationships" r:id="rId3"/>
        </xdr:cNvPr>
        <xdr:cNvSpPr txBox="1"/>
      </xdr:nvSpPr>
      <xdr:spPr>
        <a:xfrm>
          <a:off x="1436170" y="3359729"/>
          <a:ext cx="1144239" cy="606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7200" b="1">
              <a:solidFill>
                <a:schemeClr val="bg1"/>
              </a:solidFill>
              <a:sym typeface="Wingdings" panose="05000000000000000000" pitchFamily="2" charset="2"/>
            </a:rPr>
            <a:t></a:t>
          </a:r>
          <a:endParaRPr lang="en-US" sz="7200" b="1">
            <a:solidFill>
              <a:schemeClr val="bg1"/>
            </a:solidFill>
          </a:endParaRPr>
        </a:p>
      </xdr:txBody>
    </xdr:sp>
    <xdr:clientData/>
  </xdr:twoCellAnchor>
  <xdr:twoCellAnchor>
    <xdr:from>
      <xdr:col>1</xdr:col>
      <xdr:colOff>1254331</xdr:colOff>
      <xdr:row>14</xdr:row>
      <xdr:rowOff>264719</xdr:rowOff>
    </xdr:from>
    <xdr:to>
      <xdr:col>2</xdr:col>
      <xdr:colOff>1073727</xdr:colOff>
      <xdr:row>17</xdr:row>
      <xdr:rowOff>484908</xdr:rowOff>
    </xdr:to>
    <xdr:sp macro="" textlink="">
      <xdr:nvSpPr>
        <xdr:cNvPr id="46" name="TextBox 45">
          <a:hlinkClick xmlns:r="http://schemas.openxmlformats.org/officeDocument/2006/relationships" r:id="rId4"/>
        </xdr:cNvPr>
        <xdr:cNvSpPr txBox="1"/>
      </xdr:nvSpPr>
      <xdr:spPr>
        <a:xfrm>
          <a:off x="1392876" y="4230583"/>
          <a:ext cx="1222169" cy="1016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600" b="1">
              <a:solidFill>
                <a:schemeClr val="bg1"/>
              </a:solidFill>
              <a:sym typeface="Wingdings" panose="05000000000000000000" pitchFamily="2" charset="2"/>
            </a:rPr>
            <a:t></a:t>
          </a:r>
          <a:endParaRPr lang="en-US" sz="6600" b="1">
            <a:solidFill>
              <a:schemeClr val="bg1"/>
            </a:solidFill>
          </a:endParaRPr>
        </a:p>
      </xdr:txBody>
    </xdr:sp>
    <xdr:clientData/>
  </xdr:twoCellAnchor>
  <xdr:twoCellAnchor editAs="oneCell">
    <xdr:from>
      <xdr:col>0</xdr:col>
      <xdr:colOff>0</xdr:colOff>
      <xdr:row>11</xdr:row>
      <xdr:rowOff>0</xdr:rowOff>
    </xdr:from>
    <xdr:to>
      <xdr:col>1</xdr:col>
      <xdr:colOff>171450</xdr:colOff>
      <xdr:row>12</xdr:row>
      <xdr:rowOff>114300</xdr:rowOff>
    </xdr:to>
    <xdr:sp macro="" textlink="">
      <xdr:nvSpPr>
        <xdr:cNvPr id="1037" name="AutoShape 13" descr="White Speedometer Icon PNG Images - CleanPNG"/>
        <xdr:cNvSpPr>
          <a:spLocks noChangeAspect="1" noChangeArrowheads="1"/>
        </xdr:cNvSpPr>
      </xdr:nvSpPr>
      <xdr:spPr bwMode="auto">
        <a:xfrm>
          <a:off x="0" y="314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13</xdr:col>
      <xdr:colOff>178593</xdr:colOff>
      <xdr:row>18</xdr:row>
      <xdr:rowOff>107156</xdr:rowOff>
    </xdr:from>
    <xdr:ext cx="184731" cy="264560"/>
    <xdr:sp macro="" textlink="">
      <xdr:nvSpPr>
        <xdr:cNvPr id="6" name="TextBox 5"/>
        <xdr:cNvSpPr txBox="1"/>
      </xdr:nvSpPr>
      <xdr:spPr>
        <a:xfrm>
          <a:off x="15442406" y="37266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205586</xdr:colOff>
      <xdr:row>6</xdr:row>
      <xdr:rowOff>59533</xdr:rowOff>
    </xdr:from>
    <xdr:to>
      <xdr:col>2</xdr:col>
      <xdr:colOff>1369221</xdr:colOff>
      <xdr:row>8</xdr:row>
      <xdr:rowOff>59533</xdr:rowOff>
    </xdr:to>
    <xdr:sp macro="" textlink="">
      <xdr:nvSpPr>
        <xdr:cNvPr id="7" name="TextBox 6"/>
        <xdr:cNvSpPr txBox="1"/>
      </xdr:nvSpPr>
      <xdr:spPr>
        <a:xfrm>
          <a:off x="205586" y="1297783"/>
          <a:ext cx="310435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rgbClr val="006664"/>
              </a:solidFill>
            </a:rPr>
            <a:t>Revenue PivotTable </a:t>
          </a:r>
        </a:p>
      </xdr:txBody>
    </xdr:sp>
    <xdr:clientData/>
  </xdr:twoCellAnchor>
  <xdr:twoCellAnchor>
    <xdr:from>
      <xdr:col>3</xdr:col>
      <xdr:colOff>658810</xdr:colOff>
      <xdr:row>2</xdr:row>
      <xdr:rowOff>11905</xdr:rowOff>
    </xdr:from>
    <xdr:to>
      <xdr:col>6</xdr:col>
      <xdr:colOff>273842</xdr:colOff>
      <xdr:row>4</xdr:row>
      <xdr:rowOff>11905</xdr:rowOff>
    </xdr:to>
    <xdr:sp macro="" textlink="">
      <xdr:nvSpPr>
        <xdr:cNvPr id="8" name="TextBox 7"/>
        <xdr:cNvSpPr txBox="1"/>
      </xdr:nvSpPr>
      <xdr:spPr>
        <a:xfrm>
          <a:off x="4825998" y="392905"/>
          <a:ext cx="33178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rgbClr val="006664"/>
              </a:solidFill>
            </a:rPr>
            <a:t>Delivery Status PivotTable </a:t>
          </a:r>
        </a:p>
      </xdr:txBody>
    </xdr:sp>
    <xdr:clientData/>
  </xdr:twoCellAnchor>
  <xdr:twoCellAnchor>
    <xdr:from>
      <xdr:col>3</xdr:col>
      <xdr:colOff>732631</xdr:colOff>
      <xdr:row>13</xdr:row>
      <xdr:rowOff>134937</xdr:rowOff>
    </xdr:from>
    <xdr:to>
      <xdr:col>5</xdr:col>
      <xdr:colOff>1000125</xdr:colOff>
      <xdr:row>17</xdr:row>
      <xdr:rowOff>226219</xdr:rowOff>
    </xdr:to>
    <xdr:sp macro="" textlink="">
      <xdr:nvSpPr>
        <xdr:cNvPr id="9" name="TextBox 8"/>
        <xdr:cNvSpPr txBox="1"/>
      </xdr:nvSpPr>
      <xdr:spPr>
        <a:xfrm>
          <a:off x="4899819" y="2801937"/>
          <a:ext cx="2303462" cy="853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6664"/>
              </a:solidFill>
              <a:latin typeface="+mn-lt"/>
              <a:ea typeface="+mn-ea"/>
              <a:cs typeface="+mn-cs"/>
            </a:rPr>
            <a:t>Monthly</a:t>
          </a:r>
          <a:r>
            <a:rPr lang="en-US" sz="1800" b="1">
              <a:solidFill>
                <a:srgbClr val="006664"/>
              </a:solidFill>
            </a:rPr>
            <a:t> Trend PivotTable </a:t>
          </a:r>
        </a:p>
      </xdr:txBody>
    </xdr:sp>
    <xdr:clientData/>
  </xdr:twoCellAnchor>
  <xdr:twoCellAnchor>
    <xdr:from>
      <xdr:col>7</xdr:col>
      <xdr:colOff>180102</xdr:colOff>
      <xdr:row>17</xdr:row>
      <xdr:rowOff>38798</xdr:rowOff>
    </xdr:from>
    <xdr:to>
      <xdr:col>11</xdr:col>
      <xdr:colOff>485248</xdr:colOff>
      <xdr:row>30</xdr:row>
      <xdr:rowOff>190501</xdr:rowOff>
    </xdr:to>
    <xdr:grpSp>
      <xdr:nvGrpSpPr>
        <xdr:cNvPr id="4" name="Group 3"/>
        <xdr:cNvGrpSpPr/>
      </xdr:nvGrpSpPr>
      <xdr:grpSpPr>
        <a:xfrm>
          <a:off x="8270749" y="3501416"/>
          <a:ext cx="3678117" cy="2762673"/>
          <a:chOff x="9593043" y="3422974"/>
          <a:chExt cx="3689323" cy="2549061"/>
        </a:xfrm>
      </xdr:grpSpPr>
      <mc:AlternateContent xmlns:mc="http://schemas.openxmlformats.org/markup-compatibility/2006" xmlns:a14="http://schemas.microsoft.com/office/drawing/2010/main">
        <mc:Choice Requires="a14">
          <xdr:graphicFrame macro="">
            <xdr:nvGraphicFramePr>
              <xdr:cNvPr id="10" name="Region"/>
              <xdr:cNvGraphicFramePr/>
            </xdr:nvGraphicFramePr>
            <xdr:xfrm>
              <a:off x="9593043" y="3422974"/>
              <a:ext cx="1827989" cy="2549061"/>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70749" y="3456592"/>
                <a:ext cx="1822437" cy="271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Category"/>
              <xdr:cNvGraphicFramePr/>
            </xdr:nvGraphicFramePr>
            <xdr:xfrm>
              <a:off x="11456337" y="3428250"/>
              <a:ext cx="1826029" cy="1641711"/>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128383" y="3462217"/>
                <a:ext cx="1820483" cy="1750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Customer Type"/>
              <xdr:cNvGraphicFramePr/>
            </xdr:nvGraphicFramePr>
            <xdr:xfrm>
              <a:off x="11458063" y="5104059"/>
              <a:ext cx="1815676" cy="867976"/>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0130104" y="5248992"/>
                <a:ext cx="1810161" cy="92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212912</xdr:colOff>
      <xdr:row>1</xdr:row>
      <xdr:rowOff>89647</xdr:rowOff>
    </xdr:from>
    <xdr:to>
      <xdr:col>3</xdr:col>
      <xdr:colOff>537883</xdr:colOff>
      <xdr:row>6</xdr:row>
      <xdr:rowOff>87546</xdr:rowOff>
    </xdr:to>
    <xdr:grpSp>
      <xdr:nvGrpSpPr>
        <xdr:cNvPr id="3" name="Group 2"/>
        <xdr:cNvGrpSpPr/>
      </xdr:nvGrpSpPr>
      <xdr:grpSpPr>
        <a:xfrm>
          <a:off x="212912" y="280147"/>
          <a:ext cx="4314265" cy="1040046"/>
          <a:chOff x="10583" y="130968"/>
          <a:chExt cx="4688417" cy="1029229"/>
        </a:xfrm>
      </xdr:grpSpPr>
      <xdr:sp macro="" textlink="">
        <xdr:nvSpPr>
          <xdr:cNvPr id="2" name="Rounded Rectangle 1"/>
          <xdr:cNvSpPr/>
        </xdr:nvSpPr>
        <xdr:spPr>
          <a:xfrm>
            <a:off x="10583" y="130968"/>
            <a:ext cx="4688417" cy="1029229"/>
          </a:xfrm>
          <a:prstGeom prst="roundRect">
            <a:avLst/>
          </a:prstGeom>
          <a:solidFill>
            <a:srgbClr val="0066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PIVOT TABLE ANALYSIS</a:t>
            </a:r>
          </a:p>
        </xdr:txBody>
      </xdr:sp>
      <xdr:pic>
        <xdr:nvPicPr>
          <xdr:cNvPr id="13" name="Picture 1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0450" y="480219"/>
            <a:ext cx="332693" cy="332693"/>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146958</xdr:colOff>
      <xdr:row>3</xdr:row>
      <xdr:rowOff>91167</xdr:rowOff>
    </xdr:from>
    <xdr:to>
      <xdr:col>9</xdr:col>
      <xdr:colOff>513273</xdr:colOff>
      <xdr:row>13</xdr:row>
      <xdr:rowOff>81643</xdr:rowOff>
    </xdr:to>
    <xdr:grpSp>
      <xdr:nvGrpSpPr>
        <xdr:cNvPr id="2" name="Group 1"/>
        <xdr:cNvGrpSpPr/>
      </xdr:nvGrpSpPr>
      <xdr:grpSpPr>
        <a:xfrm>
          <a:off x="146958" y="662667"/>
          <a:ext cx="6414690" cy="1966914"/>
          <a:chOff x="133350" y="676274"/>
          <a:chExt cx="6433740" cy="1962151"/>
        </a:xfrm>
      </xdr:grpSpPr>
      <xdr:grpSp>
        <xdr:nvGrpSpPr>
          <xdr:cNvPr id="22" name="Group 21"/>
          <xdr:cNvGrpSpPr/>
        </xdr:nvGrpSpPr>
        <xdr:grpSpPr>
          <a:xfrm>
            <a:off x="133351" y="695324"/>
            <a:ext cx="2247899" cy="885825"/>
            <a:chOff x="2752726" y="1741671"/>
            <a:chExt cx="2028104" cy="820554"/>
          </a:xfrm>
        </xdr:grpSpPr>
        <xdr:grpSp>
          <xdr:nvGrpSpPr>
            <xdr:cNvPr id="8" name="Group 7"/>
            <xdr:cNvGrpSpPr/>
          </xdr:nvGrpSpPr>
          <xdr:grpSpPr>
            <a:xfrm>
              <a:off x="2752726" y="1741671"/>
              <a:ext cx="2028104" cy="820554"/>
              <a:chOff x="3009901" y="1494021"/>
              <a:chExt cx="2028104" cy="820554"/>
            </a:xfrm>
          </xdr:grpSpPr>
          <xdr:sp macro="" textlink="">
            <xdr:nvSpPr>
              <xdr:cNvPr id="5" name="Rounded Rectangle 4"/>
              <xdr:cNvSpPr/>
            </xdr:nvSpPr>
            <xdr:spPr>
              <a:xfrm>
                <a:off x="3009901" y="1494021"/>
                <a:ext cx="1885950" cy="820554"/>
              </a:xfrm>
              <a:prstGeom prst="roundRect">
                <a:avLst/>
              </a:prstGeom>
              <a:solidFill>
                <a:srgbClr val="B0E2DE">
                  <a:alpha val="42000"/>
                </a:srgb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t> </a:t>
                </a:r>
                <a:r>
                  <a:rPr lang="en-US" sz="1400" b="1">
                    <a:solidFill>
                      <a:srgbClr val="006F6C"/>
                    </a:solidFill>
                  </a:rPr>
                  <a:t>Total Revenue      </a:t>
                </a:r>
              </a:p>
              <a:p>
                <a:pPr algn="ctr"/>
                <a:endParaRPr lang="en-US" sz="1400">
                  <a:solidFill>
                    <a:srgbClr val="006F6C"/>
                  </a:solidFill>
                </a:endParaRPr>
              </a:p>
              <a:p>
                <a:pPr algn="ctr"/>
                <a:r>
                  <a:rPr lang="en-US" sz="1200">
                    <a:solidFill>
                      <a:srgbClr val="006F6C"/>
                    </a:solidFill>
                  </a:rPr>
                  <a:t>              PKR</a:t>
                </a:r>
                <a:endParaRPr lang="en-US" sz="1200"/>
              </a:p>
            </xdr:txBody>
          </xdr:sp>
          <xdr:sp macro="" textlink="Sheet1!A21">
            <xdr:nvSpPr>
              <xdr:cNvPr id="6" name="TextBox 5"/>
              <xdr:cNvSpPr txBox="1"/>
            </xdr:nvSpPr>
            <xdr:spPr>
              <a:xfrm>
                <a:off x="3363297" y="1705677"/>
                <a:ext cx="167470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28E88C-C767-4F4D-B26D-248E286878A7}" type="TxLink">
                  <a:rPr lang="en-US" sz="1600" b="1" i="0" u="none" strike="noStrike">
                    <a:solidFill>
                      <a:srgbClr val="006664"/>
                    </a:solidFill>
                    <a:latin typeface="Calibri"/>
                    <a:cs typeface="Calibri"/>
                  </a:rPr>
                  <a:pPr algn="ctr"/>
                  <a:t>53 M</a:t>
                </a:fld>
                <a:endParaRPr lang="en-US" sz="1600" b="1">
                  <a:solidFill>
                    <a:srgbClr val="006664"/>
                  </a:solidFill>
                </a:endParaRPr>
              </a:p>
            </xdr:txBody>
          </xdr:sp>
          <xdr:sp macro="" textlink="">
            <xdr:nvSpPr>
              <xdr:cNvPr id="7" name="Flowchart: Connector 6"/>
              <xdr:cNvSpPr/>
            </xdr:nvSpPr>
            <xdr:spPr>
              <a:xfrm>
                <a:off x="3143250" y="1657350"/>
                <a:ext cx="466725" cy="485775"/>
              </a:xfrm>
              <a:prstGeom prst="flowChartConnector">
                <a:avLst/>
              </a:prstGeom>
              <a:solidFill>
                <a:srgbClr val="006F6C"/>
              </a:solidFill>
              <a:ln>
                <a:solidFill>
                  <a:srgbClr val="006F6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21" name="Picture 20"/>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43227" y="1981203"/>
              <a:ext cx="333374" cy="304798"/>
            </a:xfrm>
            <a:prstGeom prst="rect">
              <a:avLst/>
            </a:prstGeom>
          </xdr:spPr>
        </xdr:pic>
      </xdr:grpSp>
      <xdr:grpSp>
        <xdr:nvGrpSpPr>
          <xdr:cNvPr id="25" name="Group 24"/>
          <xdr:cNvGrpSpPr/>
        </xdr:nvGrpSpPr>
        <xdr:grpSpPr>
          <a:xfrm>
            <a:off x="2306078" y="728993"/>
            <a:ext cx="2076450" cy="904875"/>
            <a:chOff x="2115336" y="687009"/>
            <a:chExt cx="2028825" cy="838200"/>
          </a:xfrm>
        </xdr:grpSpPr>
        <xdr:grpSp>
          <xdr:nvGrpSpPr>
            <xdr:cNvPr id="9" name="Group 8"/>
            <xdr:cNvGrpSpPr/>
          </xdr:nvGrpSpPr>
          <xdr:grpSpPr>
            <a:xfrm>
              <a:off x="2115336" y="687009"/>
              <a:ext cx="2028825" cy="838200"/>
              <a:chOff x="3019486" y="1525209"/>
              <a:chExt cx="1885950" cy="838200"/>
            </a:xfrm>
          </xdr:grpSpPr>
          <xdr:sp macro="" textlink="">
            <xdr:nvSpPr>
              <xdr:cNvPr id="10" name="Rounded Rectangle 9"/>
              <xdr:cNvSpPr/>
            </xdr:nvSpPr>
            <xdr:spPr>
              <a:xfrm>
                <a:off x="3019486" y="1525209"/>
                <a:ext cx="1885950" cy="838200"/>
              </a:xfrm>
              <a:prstGeom prst="roundRect">
                <a:avLst/>
              </a:prstGeom>
              <a:solidFill>
                <a:srgbClr val="B0E2DE">
                  <a:alpha val="42000"/>
                </a:srgb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06F6C"/>
                    </a:solidFill>
                  </a:rPr>
                  <a:t>           Total Profit      </a:t>
                </a:r>
              </a:p>
              <a:p>
                <a:pPr algn="ctr"/>
                <a:endParaRPr lang="en-US" sz="1400">
                  <a:solidFill>
                    <a:srgbClr val="006F6C"/>
                  </a:solidFill>
                </a:endParaRPr>
              </a:p>
              <a:p>
                <a:pPr algn="ctr"/>
                <a:r>
                  <a:rPr lang="en-US" sz="1200">
                    <a:solidFill>
                      <a:srgbClr val="006F6C"/>
                    </a:solidFill>
                  </a:rPr>
                  <a:t>           </a:t>
                </a:r>
                <a:r>
                  <a:rPr lang="en-US" sz="1200" baseline="0">
                    <a:solidFill>
                      <a:srgbClr val="006F6C"/>
                    </a:solidFill>
                  </a:rPr>
                  <a:t> </a:t>
                </a:r>
                <a:r>
                  <a:rPr lang="en-US" sz="1200">
                    <a:solidFill>
                      <a:srgbClr val="006F6C"/>
                    </a:solidFill>
                  </a:rPr>
                  <a:t>PKR</a:t>
                </a:r>
                <a:endParaRPr lang="en-US" sz="1200"/>
              </a:p>
            </xdr:txBody>
          </xdr:sp>
          <xdr:sp macro="" textlink="Sheet1!B21">
            <xdr:nvSpPr>
              <xdr:cNvPr id="11" name="TextBox 10"/>
              <xdr:cNvSpPr txBox="1"/>
            </xdr:nvSpPr>
            <xdr:spPr>
              <a:xfrm>
                <a:off x="3472337" y="1763375"/>
                <a:ext cx="1409080" cy="27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71D97E-4CF2-4413-B757-9A5609CE880F}" type="TxLink">
                  <a:rPr lang="en-US" sz="1600" b="1" i="0" u="none" strike="noStrike">
                    <a:solidFill>
                      <a:srgbClr val="006664"/>
                    </a:solidFill>
                    <a:latin typeface="Calibri"/>
                    <a:cs typeface="Calibri"/>
                  </a:rPr>
                  <a:pPr algn="ctr"/>
                  <a:t>9.1M</a:t>
                </a:fld>
                <a:endParaRPr lang="en-US" sz="1600" b="1">
                  <a:solidFill>
                    <a:srgbClr val="006664"/>
                  </a:solidFill>
                </a:endParaRPr>
              </a:p>
            </xdr:txBody>
          </xdr:sp>
          <xdr:sp macro="" textlink="">
            <xdr:nvSpPr>
              <xdr:cNvPr id="12" name="Flowchart: Connector 11"/>
              <xdr:cNvSpPr/>
            </xdr:nvSpPr>
            <xdr:spPr>
              <a:xfrm>
                <a:off x="3143250" y="1657350"/>
                <a:ext cx="466725" cy="485775"/>
              </a:xfrm>
              <a:prstGeom prst="flowChartConnector">
                <a:avLst/>
              </a:prstGeom>
              <a:solidFill>
                <a:srgbClr val="006F6C"/>
              </a:solidFill>
              <a:ln>
                <a:solidFill>
                  <a:srgbClr val="006F6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24" name="Picture 2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43151" y="896031"/>
              <a:ext cx="323849" cy="323849"/>
            </a:xfrm>
            <a:prstGeom prst="rect">
              <a:avLst/>
            </a:prstGeom>
          </xdr:spPr>
        </xdr:pic>
      </xdr:grpSp>
      <xdr:grpSp>
        <xdr:nvGrpSpPr>
          <xdr:cNvPr id="28" name="Group 27"/>
          <xdr:cNvGrpSpPr/>
        </xdr:nvGrpSpPr>
        <xdr:grpSpPr>
          <a:xfrm>
            <a:off x="4438650" y="676274"/>
            <a:ext cx="2076450" cy="904875"/>
            <a:chOff x="5086350" y="771525"/>
            <a:chExt cx="1924050" cy="838200"/>
          </a:xfrm>
        </xdr:grpSpPr>
        <xdr:grpSp>
          <xdr:nvGrpSpPr>
            <xdr:cNvPr id="13" name="Group 12"/>
            <xdr:cNvGrpSpPr/>
          </xdr:nvGrpSpPr>
          <xdr:grpSpPr>
            <a:xfrm>
              <a:off x="5086350" y="771525"/>
              <a:ext cx="1924050" cy="838200"/>
              <a:chOff x="3009901" y="1476375"/>
              <a:chExt cx="1885950" cy="838200"/>
            </a:xfrm>
          </xdr:grpSpPr>
          <xdr:sp macro="" textlink="">
            <xdr:nvSpPr>
              <xdr:cNvPr id="14" name="Rounded Rectangle 13"/>
              <xdr:cNvSpPr/>
            </xdr:nvSpPr>
            <xdr:spPr>
              <a:xfrm>
                <a:off x="3009901" y="1476375"/>
                <a:ext cx="1885950" cy="838200"/>
              </a:xfrm>
              <a:prstGeom prst="roundRect">
                <a:avLst/>
              </a:prstGeom>
              <a:solidFill>
                <a:srgbClr val="B0E2DE">
                  <a:alpha val="42000"/>
                </a:srgb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t>         </a:t>
                </a:r>
                <a:r>
                  <a:rPr lang="en-US" sz="1400" b="1">
                    <a:solidFill>
                      <a:srgbClr val="006F6C"/>
                    </a:solidFill>
                  </a:rPr>
                  <a:t>Profit</a:t>
                </a:r>
                <a:r>
                  <a:rPr lang="en-US" sz="1400" b="1" baseline="0">
                    <a:solidFill>
                      <a:srgbClr val="006F6C"/>
                    </a:solidFill>
                  </a:rPr>
                  <a:t> Margin %</a:t>
                </a:r>
                <a:r>
                  <a:rPr lang="en-US" sz="1400" b="1">
                    <a:solidFill>
                      <a:srgbClr val="006F6C"/>
                    </a:solidFill>
                  </a:rPr>
                  <a:t>      </a:t>
                </a:r>
              </a:p>
              <a:p>
                <a:pPr algn="ctr"/>
                <a:endParaRPr lang="en-US" sz="1400">
                  <a:solidFill>
                    <a:srgbClr val="006F6C"/>
                  </a:solidFill>
                </a:endParaRPr>
              </a:p>
              <a:p>
                <a:pPr algn="ctr"/>
                <a:r>
                  <a:rPr lang="en-US" sz="1200">
                    <a:solidFill>
                      <a:srgbClr val="006F6C"/>
                    </a:solidFill>
                  </a:rPr>
                  <a:t>            %</a:t>
                </a:r>
                <a:r>
                  <a:rPr lang="en-US" sz="1200" baseline="0">
                    <a:solidFill>
                      <a:srgbClr val="006F6C"/>
                    </a:solidFill>
                  </a:rPr>
                  <a:t> of Revenue</a:t>
                </a:r>
              </a:p>
              <a:p>
                <a:pPr algn="ctr"/>
                <a:endParaRPr lang="en-US" sz="1200"/>
              </a:p>
            </xdr:txBody>
          </xdr:sp>
          <xdr:sp macro="" textlink="$G$6">
            <xdr:nvSpPr>
              <xdr:cNvPr id="15" name="TextBox 14"/>
              <xdr:cNvSpPr txBox="1"/>
            </xdr:nvSpPr>
            <xdr:spPr>
              <a:xfrm>
                <a:off x="3801538" y="1715904"/>
                <a:ext cx="8858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94AF06-4AD2-4687-9CD4-3A4A59AC0257}" type="TxLink">
                  <a:rPr lang="en-US" sz="1600" b="1" i="0" u="none" strike="noStrike">
                    <a:solidFill>
                      <a:srgbClr val="006F6C"/>
                    </a:solidFill>
                    <a:latin typeface="Calibri"/>
                    <a:cs typeface="Calibri"/>
                  </a:rPr>
                  <a:pPr/>
                  <a:t>17.24%</a:t>
                </a:fld>
                <a:endParaRPr lang="en-US" sz="1600"/>
              </a:p>
            </xdr:txBody>
          </xdr:sp>
          <xdr:sp macro="" textlink="">
            <xdr:nvSpPr>
              <xdr:cNvPr id="16" name="Flowchart: Connector 15"/>
              <xdr:cNvSpPr/>
            </xdr:nvSpPr>
            <xdr:spPr>
              <a:xfrm>
                <a:off x="3143250" y="1657350"/>
                <a:ext cx="466725" cy="485775"/>
              </a:xfrm>
              <a:prstGeom prst="flowChartConnector">
                <a:avLst/>
              </a:prstGeom>
              <a:solidFill>
                <a:srgbClr val="006F6C"/>
              </a:solidFill>
              <a:ln>
                <a:solidFill>
                  <a:srgbClr val="006F6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26" name="Picture 2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257801" y="1019857"/>
              <a:ext cx="400050" cy="400050"/>
            </a:xfrm>
            <a:prstGeom prst="rect">
              <a:avLst/>
            </a:prstGeom>
          </xdr:spPr>
        </xdr:pic>
      </xdr:grpSp>
      <xdr:grpSp>
        <xdr:nvGrpSpPr>
          <xdr:cNvPr id="48" name="Group 47"/>
          <xdr:cNvGrpSpPr/>
        </xdr:nvGrpSpPr>
        <xdr:grpSpPr>
          <a:xfrm>
            <a:off x="2286000" y="1685925"/>
            <a:ext cx="2090339" cy="942975"/>
            <a:chOff x="2228850" y="2428875"/>
            <a:chExt cx="2090339" cy="885825"/>
          </a:xfrm>
        </xdr:grpSpPr>
        <xdr:grpSp>
          <xdr:nvGrpSpPr>
            <xdr:cNvPr id="30" name="Group 29"/>
            <xdr:cNvGrpSpPr/>
          </xdr:nvGrpSpPr>
          <xdr:grpSpPr>
            <a:xfrm>
              <a:off x="2228850" y="2428875"/>
              <a:ext cx="2090339" cy="885825"/>
              <a:chOff x="3009901" y="1494021"/>
              <a:chExt cx="1885950" cy="820554"/>
            </a:xfrm>
          </xdr:grpSpPr>
          <xdr:sp macro="" textlink="">
            <xdr:nvSpPr>
              <xdr:cNvPr id="32" name="Rounded Rectangle 31"/>
              <xdr:cNvSpPr/>
            </xdr:nvSpPr>
            <xdr:spPr>
              <a:xfrm>
                <a:off x="3009901" y="1494021"/>
                <a:ext cx="1885950" cy="820554"/>
              </a:xfrm>
              <a:prstGeom prst="roundRect">
                <a:avLst/>
              </a:prstGeom>
              <a:solidFill>
                <a:srgbClr val="B0E2DE">
                  <a:alpha val="42000"/>
                </a:srgb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          </a:t>
                </a:r>
                <a:r>
                  <a:rPr lang="en-US" sz="1400" b="1">
                    <a:solidFill>
                      <a:srgbClr val="006F6C"/>
                    </a:solidFill>
                  </a:rPr>
                  <a:t>Top Region      </a:t>
                </a:r>
              </a:p>
              <a:p>
                <a:pPr algn="ctr"/>
                <a:endParaRPr lang="en-US" sz="1400">
                  <a:solidFill>
                    <a:srgbClr val="006F6C"/>
                  </a:solidFill>
                </a:endParaRPr>
              </a:p>
              <a:p>
                <a:pPr algn="ctr"/>
                <a:r>
                  <a:rPr lang="en-US" sz="1200">
                    <a:solidFill>
                      <a:srgbClr val="006F6C"/>
                    </a:solidFill>
                  </a:rPr>
                  <a:t>                 </a:t>
                </a:r>
                <a:endParaRPr lang="en-US" sz="1200"/>
              </a:p>
            </xdr:txBody>
          </xdr:sp>
          <xdr:sp macro="" textlink="$B$11">
            <xdr:nvSpPr>
              <xdr:cNvPr id="33" name="TextBox 32"/>
              <xdr:cNvSpPr txBox="1"/>
            </xdr:nvSpPr>
            <xdr:spPr>
              <a:xfrm>
                <a:off x="3791925" y="1811556"/>
                <a:ext cx="876554" cy="326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934E49-0F74-4B0A-BA74-F75C78D1E144}" type="TxLink">
                  <a:rPr lang="en-US" sz="1600" b="1" i="0" u="none" strike="noStrike">
                    <a:solidFill>
                      <a:srgbClr val="006F6C"/>
                    </a:solidFill>
                    <a:latin typeface="Calibri"/>
                    <a:cs typeface="Calibri"/>
                  </a:rPr>
                  <a:pPr/>
                  <a:t>Lahore</a:t>
                </a:fld>
                <a:endParaRPr lang="en-US" sz="1600" b="1" i="0" u="none" strike="noStrike">
                  <a:solidFill>
                    <a:srgbClr val="FFFFFF"/>
                  </a:solidFill>
                  <a:latin typeface="Calibri"/>
                  <a:cs typeface="Calibri"/>
                </a:endParaRPr>
              </a:p>
            </xdr:txBody>
          </xdr:sp>
          <xdr:sp macro="" textlink="">
            <xdr:nvSpPr>
              <xdr:cNvPr id="34" name="Flowchart: Connector 33"/>
              <xdr:cNvSpPr/>
            </xdr:nvSpPr>
            <xdr:spPr>
              <a:xfrm>
                <a:off x="3143250" y="1657350"/>
                <a:ext cx="466725" cy="485775"/>
              </a:xfrm>
              <a:prstGeom prst="flowChartConnector">
                <a:avLst/>
              </a:prstGeom>
              <a:solidFill>
                <a:srgbClr val="006F6C"/>
              </a:solidFill>
              <a:ln>
                <a:solidFill>
                  <a:srgbClr val="006F6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47" name="Picture 46"/>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81252" y="2591482"/>
              <a:ext cx="542244" cy="542244"/>
            </a:xfrm>
            <a:prstGeom prst="rect">
              <a:avLst/>
            </a:prstGeom>
          </xdr:spPr>
        </xdr:pic>
      </xdr:grpSp>
      <xdr:grpSp>
        <xdr:nvGrpSpPr>
          <xdr:cNvPr id="50" name="Group 49"/>
          <xdr:cNvGrpSpPr/>
        </xdr:nvGrpSpPr>
        <xdr:grpSpPr>
          <a:xfrm>
            <a:off x="133350" y="1676400"/>
            <a:ext cx="2090339" cy="933450"/>
            <a:chOff x="5543550" y="2438400"/>
            <a:chExt cx="2090339" cy="885825"/>
          </a:xfrm>
        </xdr:grpSpPr>
        <xdr:grpSp>
          <xdr:nvGrpSpPr>
            <xdr:cNvPr id="36" name="Group 35"/>
            <xdr:cNvGrpSpPr/>
          </xdr:nvGrpSpPr>
          <xdr:grpSpPr>
            <a:xfrm>
              <a:off x="5543550" y="2438400"/>
              <a:ext cx="2090339" cy="885825"/>
              <a:chOff x="3009901" y="1494021"/>
              <a:chExt cx="1885950" cy="820554"/>
            </a:xfrm>
          </xdr:grpSpPr>
          <xdr:sp macro="" textlink="">
            <xdr:nvSpPr>
              <xdr:cNvPr id="38" name="Rounded Rectangle 37"/>
              <xdr:cNvSpPr/>
            </xdr:nvSpPr>
            <xdr:spPr>
              <a:xfrm>
                <a:off x="3009901" y="1494021"/>
                <a:ext cx="1885950" cy="820554"/>
              </a:xfrm>
              <a:prstGeom prst="roundRect">
                <a:avLst/>
              </a:prstGeom>
              <a:solidFill>
                <a:srgbClr val="B0E2DE">
                  <a:alpha val="42000"/>
                </a:srgb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solidFill>
                      <a:srgbClr val="006F6C"/>
                    </a:solidFill>
                  </a:rPr>
                  <a:t>Top SalesPerson </a:t>
                </a:r>
              </a:p>
              <a:p>
                <a:pPr algn="ctr"/>
                <a:endParaRPr lang="en-US" sz="1400">
                  <a:solidFill>
                    <a:srgbClr val="006F6C"/>
                  </a:solidFill>
                </a:endParaRPr>
              </a:p>
            </xdr:txBody>
          </xdr:sp>
          <xdr:sp macro="" textlink="$E$11">
            <xdr:nvSpPr>
              <xdr:cNvPr id="39" name="TextBox 38"/>
              <xdr:cNvSpPr txBox="1"/>
            </xdr:nvSpPr>
            <xdr:spPr>
              <a:xfrm>
                <a:off x="3703151" y="1882140"/>
                <a:ext cx="117157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8DA90E-67E7-4330-9562-63A911863649}" type="TxLink">
                  <a:rPr lang="en-US" sz="1400" b="1" i="0" u="none" strike="noStrike">
                    <a:solidFill>
                      <a:srgbClr val="006F6C"/>
                    </a:solidFill>
                    <a:latin typeface="Calibri"/>
                    <a:cs typeface="Calibri"/>
                  </a:rPr>
                  <a:pPr/>
                  <a:t>Bilal Hussain</a:t>
                </a:fld>
                <a:endParaRPr lang="en-US" sz="1100"/>
              </a:p>
            </xdr:txBody>
          </xdr:sp>
          <xdr:sp macro="" textlink="">
            <xdr:nvSpPr>
              <xdr:cNvPr id="40" name="Flowchart: Connector 39"/>
              <xdr:cNvSpPr/>
            </xdr:nvSpPr>
            <xdr:spPr>
              <a:xfrm>
                <a:off x="3108876" y="1657350"/>
                <a:ext cx="493988" cy="489766"/>
              </a:xfrm>
              <a:prstGeom prst="flowChartConnector">
                <a:avLst/>
              </a:prstGeom>
              <a:solidFill>
                <a:srgbClr val="006F6C"/>
              </a:solidFill>
              <a:ln>
                <a:solidFill>
                  <a:srgbClr val="006F6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49" name="Picture 4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724525" y="2666028"/>
              <a:ext cx="447675" cy="447675"/>
            </a:xfrm>
            <a:prstGeom prst="rect">
              <a:avLst/>
            </a:prstGeom>
          </xdr:spPr>
        </xdr:pic>
      </xdr:grpSp>
      <xdr:grpSp>
        <xdr:nvGrpSpPr>
          <xdr:cNvPr id="52" name="Group 51"/>
          <xdr:cNvGrpSpPr/>
        </xdr:nvGrpSpPr>
        <xdr:grpSpPr>
          <a:xfrm>
            <a:off x="4476751" y="1685925"/>
            <a:ext cx="2090339" cy="952500"/>
            <a:chOff x="8505826" y="2000250"/>
            <a:chExt cx="2090339" cy="990600"/>
          </a:xfrm>
        </xdr:grpSpPr>
        <xdr:grpSp>
          <xdr:nvGrpSpPr>
            <xdr:cNvPr id="42" name="Group 41"/>
            <xdr:cNvGrpSpPr/>
          </xdr:nvGrpSpPr>
          <xdr:grpSpPr>
            <a:xfrm>
              <a:off x="8505826" y="2000250"/>
              <a:ext cx="2090339" cy="990600"/>
              <a:chOff x="3009902" y="1494021"/>
              <a:chExt cx="1885950" cy="820554"/>
            </a:xfrm>
          </xdr:grpSpPr>
          <xdr:sp macro="" textlink="">
            <xdr:nvSpPr>
              <xdr:cNvPr id="44" name="Rounded Rectangle 43"/>
              <xdr:cNvSpPr/>
            </xdr:nvSpPr>
            <xdr:spPr>
              <a:xfrm>
                <a:off x="3009902" y="1494021"/>
                <a:ext cx="1885950" cy="820554"/>
              </a:xfrm>
              <a:prstGeom prst="roundRect">
                <a:avLst/>
              </a:prstGeom>
              <a:solidFill>
                <a:srgbClr val="B0E2DE">
                  <a:alpha val="42000"/>
                </a:srgb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solidFill>
                      <a:srgbClr val="006F6C"/>
                    </a:solidFill>
                  </a:rPr>
                  <a:t>Order</a:t>
                </a:r>
                <a:r>
                  <a:rPr lang="en-US" sz="1400" b="1" baseline="0">
                    <a:solidFill>
                      <a:srgbClr val="006F6C"/>
                    </a:solidFill>
                  </a:rPr>
                  <a:t> Delivered</a:t>
                </a:r>
                <a:endParaRPr lang="en-US" sz="1400" b="1">
                  <a:solidFill>
                    <a:srgbClr val="006F6C"/>
                  </a:solidFill>
                </a:endParaRPr>
              </a:p>
              <a:p>
                <a:pPr algn="ctr"/>
                <a:r>
                  <a:rPr lang="en-US" sz="1200">
                    <a:solidFill>
                      <a:srgbClr val="006F6C"/>
                    </a:solidFill>
                  </a:rPr>
                  <a:t>                 </a:t>
                </a:r>
                <a:endParaRPr lang="en-US" sz="1200"/>
              </a:p>
            </xdr:txBody>
          </xdr:sp>
          <xdr:sp macro="" textlink="$H$11">
            <xdr:nvSpPr>
              <xdr:cNvPr id="45" name="TextBox 44"/>
              <xdr:cNvSpPr txBox="1"/>
            </xdr:nvSpPr>
            <xdr:spPr>
              <a:xfrm>
                <a:off x="3866432" y="1887146"/>
                <a:ext cx="638768" cy="285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CEFE03-1345-41A0-8078-29EF55EF6EBC}" type="TxLink">
                  <a:rPr lang="en-US" sz="1800" b="1" i="0" u="none" strike="noStrike">
                    <a:solidFill>
                      <a:srgbClr val="006F6C"/>
                    </a:solidFill>
                    <a:latin typeface="Calibri"/>
                    <a:cs typeface="Calibri"/>
                  </a:rPr>
                  <a:pPr algn="ctr"/>
                  <a:t>290</a:t>
                </a:fld>
                <a:endParaRPr lang="en-US" sz="1100"/>
              </a:p>
            </xdr:txBody>
          </xdr:sp>
          <xdr:sp macro="" textlink="">
            <xdr:nvSpPr>
              <xdr:cNvPr id="46" name="Flowchart: Connector 45"/>
              <xdr:cNvSpPr/>
            </xdr:nvSpPr>
            <xdr:spPr>
              <a:xfrm>
                <a:off x="3108876" y="1657350"/>
                <a:ext cx="485395" cy="459977"/>
              </a:xfrm>
              <a:prstGeom prst="flowChartConnector">
                <a:avLst/>
              </a:prstGeom>
              <a:solidFill>
                <a:srgbClr val="006F6C"/>
              </a:solidFill>
              <a:ln>
                <a:solidFill>
                  <a:srgbClr val="006F6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51" name="Picture 50"/>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686801" y="2258107"/>
              <a:ext cx="428624" cy="428624"/>
            </a:xfrm>
            <a:prstGeom prst="rect">
              <a:avLst/>
            </a:prstGeom>
          </xdr:spPr>
        </xdr:pic>
      </xdr:grpSp>
    </xdr:grpSp>
    <xdr:clientData/>
  </xdr:twoCellAnchor>
  <xdr:twoCellAnchor>
    <xdr:from>
      <xdr:col>0</xdr:col>
      <xdr:colOff>123825</xdr:colOff>
      <xdr:row>0</xdr:row>
      <xdr:rowOff>76200</xdr:rowOff>
    </xdr:from>
    <xdr:to>
      <xdr:col>21</xdr:col>
      <xdr:colOff>440530</xdr:colOff>
      <xdr:row>2</xdr:row>
      <xdr:rowOff>161925</xdr:rowOff>
    </xdr:to>
    <xdr:grpSp>
      <xdr:nvGrpSpPr>
        <xdr:cNvPr id="54" name="Group 53"/>
        <xdr:cNvGrpSpPr/>
      </xdr:nvGrpSpPr>
      <xdr:grpSpPr>
        <a:xfrm>
          <a:off x="123825" y="76200"/>
          <a:ext cx="13651705" cy="466725"/>
          <a:chOff x="123826" y="76200"/>
          <a:chExt cx="12706349" cy="466725"/>
        </a:xfrm>
      </xdr:grpSpPr>
      <xdr:sp macro="" textlink="">
        <xdr:nvSpPr>
          <xdr:cNvPr id="3" name="Rounded Rectangle 2"/>
          <xdr:cNvSpPr/>
        </xdr:nvSpPr>
        <xdr:spPr>
          <a:xfrm>
            <a:off x="123826" y="76200"/>
            <a:ext cx="12706349" cy="447675"/>
          </a:xfrm>
          <a:prstGeom prst="roundRect">
            <a:avLst/>
          </a:prstGeom>
          <a:solidFill>
            <a:srgbClr val="006F6C"/>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bg1"/>
                </a:solidFill>
              </a:rPr>
              <a:t> SALES PERFORMANCE DASHBOARD</a:t>
            </a:r>
          </a:p>
        </xdr:txBody>
      </xdr:sp>
      <xdr:pic>
        <xdr:nvPicPr>
          <xdr:cNvPr id="53" name="Picture 52"/>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9077" y="86408"/>
            <a:ext cx="553088" cy="456517"/>
          </a:xfrm>
          <a:prstGeom prst="rect">
            <a:avLst/>
          </a:prstGeom>
          <a:ln w="12700">
            <a:noFill/>
          </a:ln>
        </xdr:spPr>
      </xdr:pic>
    </xdr:grpSp>
    <xdr:clientData/>
  </xdr:twoCellAnchor>
  <xdr:twoCellAnchor>
    <xdr:from>
      <xdr:col>10</xdr:col>
      <xdr:colOff>33977</xdr:colOff>
      <xdr:row>3</xdr:row>
      <xdr:rowOff>46463</xdr:rowOff>
    </xdr:from>
    <xdr:to>
      <xdr:col>18</xdr:col>
      <xdr:colOff>92057</xdr:colOff>
      <xdr:row>16</xdr:row>
      <xdr:rowOff>28575</xdr:rowOff>
    </xdr:to>
    <xdr:grpSp>
      <xdr:nvGrpSpPr>
        <xdr:cNvPr id="35" name="Group 34"/>
        <xdr:cNvGrpSpPr/>
      </xdr:nvGrpSpPr>
      <xdr:grpSpPr>
        <a:xfrm>
          <a:off x="6689571" y="617963"/>
          <a:ext cx="4915830" cy="2530050"/>
          <a:chOff x="6713963" y="604024"/>
          <a:chExt cx="4890275" cy="2491136"/>
        </a:xfrm>
      </xdr:grpSpPr>
      <xdr:grpSp>
        <xdr:nvGrpSpPr>
          <xdr:cNvPr id="23" name="Group 22"/>
          <xdr:cNvGrpSpPr/>
        </xdr:nvGrpSpPr>
        <xdr:grpSpPr>
          <a:xfrm>
            <a:off x="6720469" y="604024"/>
            <a:ext cx="4872153" cy="2491136"/>
            <a:chOff x="6720469" y="604024"/>
            <a:chExt cx="4872153" cy="2491136"/>
          </a:xfrm>
        </xdr:grpSpPr>
        <xdr:sp macro="" textlink="">
          <xdr:nvSpPr>
            <xdr:cNvPr id="4" name="Rectangle 3"/>
            <xdr:cNvSpPr/>
          </xdr:nvSpPr>
          <xdr:spPr>
            <a:xfrm>
              <a:off x="6720469" y="605186"/>
              <a:ext cx="4870295" cy="2489974"/>
            </a:xfrm>
            <a:prstGeom prst="rect">
              <a:avLst/>
            </a:prstGeom>
            <a:solidFill>
              <a:srgbClr val="D2F0EE"/>
            </a:solid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xdr:cNvSpPr txBox="1"/>
          </xdr:nvSpPr>
          <xdr:spPr>
            <a:xfrm>
              <a:off x="6725579" y="604024"/>
              <a:ext cx="4867043" cy="302013"/>
            </a:xfrm>
            <a:prstGeom prst="rect">
              <a:avLst/>
            </a:prstGeom>
            <a:solidFill>
              <a:srgbClr val="006664"/>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REGIONAL PERFORMANCE</a:t>
              </a:r>
            </a:p>
          </xdr:txBody>
        </xdr:sp>
      </xdr:grpSp>
      <xdr:graphicFrame macro="">
        <xdr:nvGraphicFramePr>
          <xdr:cNvPr id="55" name="Chart 54"/>
          <xdr:cNvGraphicFramePr>
            <a:graphicFrameLocks/>
          </xdr:cNvGraphicFramePr>
        </xdr:nvGraphicFramePr>
        <xdr:xfrm>
          <a:off x="6713963" y="929268"/>
          <a:ext cx="4890275" cy="2148933"/>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0</xdr:col>
      <xdr:colOff>180974</xdr:colOff>
      <xdr:row>14</xdr:row>
      <xdr:rowOff>66674</xdr:rowOff>
    </xdr:from>
    <xdr:to>
      <xdr:col>9</xdr:col>
      <xdr:colOff>476250</xdr:colOff>
      <xdr:row>26</xdr:row>
      <xdr:rowOff>162622</xdr:rowOff>
    </xdr:to>
    <xdr:grpSp>
      <xdr:nvGrpSpPr>
        <xdr:cNvPr id="31" name="Group 30"/>
        <xdr:cNvGrpSpPr/>
      </xdr:nvGrpSpPr>
      <xdr:grpSpPr>
        <a:xfrm>
          <a:off x="180974" y="2805112"/>
          <a:ext cx="6343651" cy="2381948"/>
          <a:chOff x="180974" y="2761552"/>
          <a:chExt cx="6335520" cy="2326192"/>
        </a:xfrm>
      </xdr:grpSpPr>
      <xdr:grpSp>
        <xdr:nvGrpSpPr>
          <xdr:cNvPr id="29" name="Group 28"/>
          <xdr:cNvGrpSpPr/>
        </xdr:nvGrpSpPr>
        <xdr:grpSpPr>
          <a:xfrm>
            <a:off x="180974" y="2761552"/>
            <a:ext cx="6335520" cy="2325495"/>
            <a:chOff x="180974" y="2761552"/>
            <a:chExt cx="6335520" cy="2325495"/>
          </a:xfrm>
        </xdr:grpSpPr>
        <xdr:sp macro="" textlink="">
          <xdr:nvSpPr>
            <xdr:cNvPr id="17" name="Rectangle 16"/>
            <xdr:cNvSpPr/>
          </xdr:nvSpPr>
          <xdr:spPr>
            <a:xfrm>
              <a:off x="180974" y="2761552"/>
              <a:ext cx="6335520" cy="2325495"/>
            </a:xfrm>
            <a:prstGeom prst="rect">
              <a:avLst/>
            </a:prstGeom>
            <a:solidFill>
              <a:srgbClr val="D2F0EE"/>
            </a:solid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xdr:cNvSpPr txBox="1"/>
          </xdr:nvSpPr>
          <xdr:spPr>
            <a:xfrm>
              <a:off x="185854" y="2776190"/>
              <a:ext cx="6330640" cy="313628"/>
            </a:xfrm>
            <a:prstGeom prst="rect">
              <a:avLst/>
            </a:prstGeom>
            <a:solidFill>
              <a:srgbClr val="006664"/>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TOP 5 SALESPERSON BY PROFIT</a:t>
              </a:r>
            </a:p>
          </xdr:txBody>
        </xdr:sp>
      </xdr:grpSp>
      <xdr:graphicFrame macro="">
        <xdr:nvGraphicFramePr>
          <xdr:cNvPr id="56" name="Chart 55"/>
          <xdr:cNvGraphicFramePr>
            <a:graphicFrameLocks/>
          </xdr:cNvGraphicFramePr>
        </xdr:nvGraphicFramePr>
        <xdr:xfrm>
          <a:off x="192590" y="3098412"/>
          <a:ext cx="6323904" cy="1989332"/>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10</xdr:col>
      <xdr:colOff>44710</xdr:colOff>
      <xdr:row>16</xdr:row>
      <xdr:rowOff>162701</xdr:rowOff>
    </xdr:from>
    <xdr:to>
      <xdr:col>18</xdr:col>
      <xdr:colOff>115716</xdr:colOff>
      <xdr:row>26</xdr:row>
      <xdr:rowOff>159066</xdr:rowOff>
    </xdr:to>
    <xdr:grpSp>
      <xdr:nvGrpSpPr>
        <xdr:cNvPr id="41" name="Group 40"/>
        <xdr:cNvGrpSpPr/>
      </xdr:nvGrpSpPr>
      <xdr:grpSpPr>
        <a:xfrm>
          <a:off x="6700304" y="3282139"/>
          <a:ext cx="4928756" cy="1901365"/>
          <a:chOff x="6728571" y="3205975"/>
          <a:chExt cx="4898870" cy="1855118"/>
        </a:xfrm>
      </xdr:grpSpPr>
      <xdr:sp macro="" textlink="">
        <xdr:nvSpPr>
          <xdr:cNvPr id="18" name="Rectangle 17"/>
          <xdr:cNvSpPr/>
        </xdr:nvSpPr>
        <xdr:spPr>
          <a:xfrm>
            <a:off x="6728571" y="3212081"/>
            <a:ext cx="4898870" cy="1849012"/>
          </a:xfrm>
          <a:prstGeom prst="rect">
            <a:avLst/>
          </a:prstGeom>
          <a:solidFill>
            <a:srgbClr val="D2F0EE"/>
          </a:solid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xdr:cNvSpPr txBox="1"/>
        </xdr:nvSpPr>
        <xdr:spPr>
          <a:xfrm>
            <a:off x="6737195" y="3205975"/>
            <a:ext cx="4878659" cy="255549"/>
          </a:xfrm>
          <a:prstGeom prst="rect">
            <a:avLst/>
          </a:prstGeom>
          <a:solidFill>
            <a:srgbClr val="006664"/>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CATEGORY</a:t>
            </a:r>
            <a:r>
              <a:rPr lang="en-US" sz="1600" b="1" baseline="0">
                <a:solidFill>
                  <a:schemeClr val="bg1"/>
                </a:solidFill>
              </a:rPr>
              <a:t> REVENUE SHARE</a:t>
            </a:r>
            <a:endParaRPr lang="en-US" sz="1600" b="1">
              <a:solidFill>
                <a:schemeClr val="bg1"/>
              </a:solidFill>
            </a:endParaRPr>
          </a:p>
        </xdr:txBody>
      </xdr:sp>
      <xdr:graphicFrame macro="">
        <xdr:nvGraphicFramePr>
          <xdr:cNvPr id="57" name="Chart 56"/>
          <xdr:cNvGraphicFramePr>
            <a:graphicFrameLocks/>
          </xdr:cNvGraphicFramePr>
        </xdr:nvGraphicFramePr>
        <xdr:xfrm>
          <a:off x="6903161" y="3546421"/>
          <a:ext cx="4423154" cy="1351584"/>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107157</xdr:colOff>
      <xdr:row>27</xdr:row>
      <xdr:rowOff>97587</xdr:rowOff>
    </xdr:from>
    <xdr:to>
      <xdr:col>18</xdr:col>
      <xdr:colOff>119063</xdr:colOff>
      <xdr:row>38</xdr:row>
      <xdr:rowOff>104541</xdr:rowOff>
    </xdr:to>
    <xdr:grpSp>
      <xdr:nvGrpSpPr>
        <xdr:cNvPr id="60" name="Group 59"/>
        <xdr:cNvGrpSpPr/>
      </xdr:nvGrpSpPr>
      <xdr:grpSpPr>
        <a:xfrm>
          <a:off x="107157" y="5312525"/>
          <a:ext cx="11525250" cy="2102454"/>
          <a:chOff x="142875" y="5314923"/>
          <a:chExt cx="11621881" cy="2102702"/>
        </a:xfrm>
      </xdr:grpSpPr>
      <xdr:sp macro="" textlink="">
        <xdr:nvSpPr>
          <xdr:cNvPr id="19" name="Rectangle 18"/>
          <xdr:cNvSpPr/>
        </xdr:nvSpPr>
        <xdr:spPr>
          <a:xfrm>
            <a:off x="142875" y="5314923"/>
            <a:ext cx="11600392" cy="2102702"/>
          </a:xfrm>
          <a:prstGeom prst="rect">
            <a:avLst/>
          </a:prstGeom>
          <a:solidFill>
            <a:srgbClr val="D2F0EE"/>
          </a:solid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9" name="Group 58"/>
          <xdr:cNvGrpSpPr/>
        </xdr:nvGrpSpPr>
        <xdr:grpSpPr>
          <a:xfrm>
            <a:off x="151005" y="5336072"/>
            <a:ext cx="11613751" cy="1977011"/>
            <a:chOff x="151005" y="5336072"/>
            <a:chExt cx="11613751" cy="1977011"/>
          </a:xfrm>
        </xdr:grpSpPr>
        <xdr:sp macro="" textlink="">
          <xdr:nvSpPr>
            <xdr:cNvPr id="43" name="TextBox 42"/>
            <xdr:cNvSpPr txBox="1"/>
          </xdr:nvSpPr>
          <xdr:spPr>
            <a:xfrm>
              <a:off x="151005" y="5336072"/>
              <a:ext cx="11613751" cy="249159"/>
            </a:xfrm>
            <a:prstGeom prst="rect">
              <a:avLst/>
            </a:prstGeom>
            <a:solidFill>
              <a:srgbClr val="006664"/>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MONTHLY REVENUE AND PROFIT TREND</a:t>
              </a:r>
            </a:p>
          </xdr:txBody>
        </xdr:sp>
        <xdr:graphicFrame macro="">
          <xdr:nvGraphicFramePr>
            <xdr:cNvPr id="58" name="Chart 57"/>
            <xdr:cNvGraphicFramePr>
              <a:graphicFrameLocks/>
            </xdr:cNvGraphicFramePr>
          </xdr:nvGraphicFramePr>
          <xdr:xfrm>
            <a:off x="151006" y="5534927"/>
            <a:ext cx="11575070" cy="1778156"/>
          </xdr:xfrm>
          <a:graphic>
            <a:graphicData uri="http://schemas.openxmlformats.org/drawingml/2006/chart">
              <c:chart xmlns:c="http://schemas.openxmlformats.org/drawingml/2006/chart" xmlns:r="http://schemas.openxmlformats.org/officeDocument/2006/relationships" r:id="rId11"/>
            </a:graphicData>
          </a:graphic>
        </xdr:graphicFrame>
      </xdr:grpSp>
    </xdr:grpSp>
    <xdr:clientData/>
  </xdr:twoCellAnchor>
  <xdr:twoCellAnchor>
    <xdr:from>
      <xdr:col>18</xdr:col>
      <xdr:colOff>226218</xdr:colOff>
      <xdr:row>3</xdr:row>
      <xdr:rowOff>71437</xdr:rowOff>
    </xdr:from>
    <xdr:to>
      <xdr:col>21</xdr:col>
      <xdr:colOff>440531</xdr:colOff>
      <xdr:row>38</xdr:row>
      <xdr:rowOff>119061</xdr:rowOff>
    </xdr:to>
    <xdr:sp macro="" textlink="">
      <xdr:nvSpPr>
        <xdr:cNvPr id="61" name="Rounded Rectangle 60"/>
        <xdr:cNvSpPr/>
      </xdr:nvSpPr>
      <xdr:spPr>
        <a:xfrm>
          <a:off x="11739562" y="642937"/>
          <a:ext cx="2035969" cy="6786562"/>
        </a:xfrm>
        <a:prstGeom prst="roundRect">
          <a:avLst>
            <a:gd name="adj" fmla="val 3802"/>
          </a:avLst>
        </a:prstGeom>
        <a:solidFill>
          <a:srgbClr val="0066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299355</xdr:colOff>
      <xdr:row>3</xdr:row>
      <xdr:rowOff>136072</xdr:rowOff>
    </xdr:from>
    <xdr:to>
      <xdr:col>21</xdr:col>
      <xdr:colOff>288214</xdr:colOff>
      <xdr:row>10</xdr:row>
      <xdr:rowOff>0</xdr:rowOff>
    </xdr:to>
    <mc:AlternateContent xmlns:mc="http://schemas.openxmlformats.org/markup-compatibility/2006" xmlns:a14="http://schemas.microsoft.com/office/drawing/2010/main">
      <mc:Choice Requires="a14">
        <xdr:graphicFrame macro="">
          <xdr:nvGraphicFramePr>
            <xdr:cNvPr id="66"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892641" y="707572"/>
              <a:ext cx="1825823" cy="1170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312963</xdr:colOff>
      <xdr:row>10</xdr:row>
      <xdr:rowOff>54428</xdr:rowOff>
    </xdr:from>
    <xdr:to>
      <xdr:col>21</xdr:col>
      <xdr:colOff>301822</xdr:colOff>
      <xdr:row>17</xdr:row>
      <xdr:rowOff>40821</xdr:rowOff>
    </xdr:to>
    <mc:AlternateContent xmlns:mc="http://schemas.openxmlformats.org/markup-compatibility/2006" xmlns:a14="http://schemas.microsoft.com/office/drawing/2010/main">
      <mc:Choice Requires="a14">
        <xdr:graphicFrame macro="">
          <xdr:nvGraphicFramePr>
            <xdr:cNvPr id="67" name="Quarte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906249" y="1932214"/>
              <a:ext cx="1825823"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335076</xdr:colOff>
      <xdr:row>31</xdr:row>
      <xdr:rowOff>183271</xdr:rowOff>
    </xdr:from>
    <xdr:to>
      <xdr:col>21</xdr:col>
      <xdr:colOff>320534</xdr:colOff>
      <xdr:row>38</xdr:row>
      <xdr:rowOff>27214</xdr:rowOff>
    </xdr:to>
    <mc:AlternateContent xmlns:mc="http://schemas.openxmlformats.org/markup-compatibility/2006" xmlns:a14="http://schemas.microsoft.com/office/drawing/2010/main">
      <mc:Choice Requires="a14">
        <xdr:graphicFrame macro="">
          <xdr:nvGraphicFramePr>
            <xdr:cNvPr id="69" name="Salesperson 1"/>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1928362" y="6170414"/>
              <a:ext cx="1822422" cy="1177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323593</xdr:colOff>
      <xdr:row>17</xdr:row>
      <xdr:rowOff>95676</xdr:rowOff>
    </xdr:from>
    <xdr:to>
      <xdr:col>21</xdr:col>
      <xdr:colOff>309051</xdr:colOff>
      <xdr:row>25</xdr:row>
      <xdr:rowOff>54430</xdr:rowOff>
    </xdr:to>
    <mc:AlternateContent xmlns:mc="http://schemas.openxmlformats.org/markup-compatibility/2006" xmlns:a14="http://schemas.microsoft.com/office/drawing/2010/main">
      <mc:Choice Requires="a14">
        <xdr:graphicFrame macro="">
          <xdr:nvGraphicFramePr>
            <xdr:cNvPr id="70"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916879" y="3415819"/>
              <a:ext cx="1822422" cy="14827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326571</xdr:colOff>
      <xdr:row>25</xdr:row>
      <xdr:rowOff>122464</xdr:rowOff>
    </xdr:from>
    <xdr:to>
      <xdr:col>21</xdr:col>
      <xdr:colOff>322659</xdr:colOff>
      <xdr:row>31</xdr:row>
      <xdr:rowOff>122463</xdr:rowOff>
    </xdr:to>
    <mc:AlternateContent xmlns:mc="http://schemas.openxmlformats.org/markup-compatibility/2006" xmlns:a14="http://schemas.microsoft.com/office/drawing/2010/main">
      <mc:Choice Requires="a14">
        <xdr:graphicFrame macro="">
          <xdr:nvGraphicFramePr>
            <xdr:cNvPr id="71"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1919857" y="4966607"/>
              <a:ext cx="1833052" cy="114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93134</xdr:colOff>
      <xdr:row>0</xdr:row>
      <xdr:rowOff>84667</xdr:rowOff>
    </xdr:from>
    <xdr:to>
      <xdr:col>5</xdr:col>
      <xdr:colOff>550334</xdr:colOff>
      <xdr:row>4</xdr:row>
      <xdr:rowOff>116417</xdr:rowOff>
    </xdr:to>
    <xdr:sp macro="" textlink="">
      <xdr:nvSpPr>
        <xdr:cNvPr id="4" name="Rounded Rectangle 3"/>
        <xdr:cNvSpPr/>
      </xdr:nvSpPr>
      <xdr:spPr>
        <a:xfrm>
          <a:off x="93134" y="84667"/>
          <a:ext cx="10315575" cy="793750"/>
        </a:xfrm>
        <a:prstGeom prst="roundRect">
          <a:avLst>
            <a:gd name="adj" fmla="val 2549"/>
          </a:avLst>
        </a:prstGeom>
        <a:solidFill>
          <a:srgbClr val="006664"/>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 FINAL REPORT</a:t>
          </a:r>
        </a:p>
        <a:p>
          <a:pPr algn="ctr"/>
          <a:r>
            <a:rPr lang="en-US" sz="1400" b="0" i="1">
              <a:solidFill>
                <a:schemeClr val="bg1"/>
              </a:solidFill>
            </a:rPr>
            <a:t>Sales Performance</a:t>
          </a:r>
          <a:r>
            <a:rPr lang="en-US" sz="1400" b="0" i="1" baseline="0">
              <a:solidFill>
                <a:schemeClr val="bg1"/>
              </a:solidFill>
            </a:rPr>
            <a:t> Analysis</a:t>
          </a:r>
          <a:endParaRPr lang="en-US" sz="1400" b="0" i="1">
            <a:solidFill>
              <a:schemeClr val="bg1"/>
            </a:solidFill>
          </a:endParaRPr>
        </a:p>
      </xdr:txBody>
    </xdr:sp>
    <xdr:clientData/>
  </xdr:twoCellAnchor>
  <xdr:twoCellAnchor>
    <xdr:from>
      <xdr:col>0</xdr:col>
      <xdr:colOff>102516</xdr:colOff>
      <xdr:row>4</xdr:row>
      <xdr:rowOff>264584</xdr:rowOff>
    </xdr:from>
    <xdr:to>
      <xdr:col>5</xdr:col>
      <xdr:colOff>560917</xdr:colOff>
      <xdr:row>17</xdr:row>
      <xdr:rowOff>95250</xdr:rowOff>
    </xdr:to>
    <xdr:grpSp>
      <xdr:nvGrpSpPr>
        <xdr:cNvPr id="11" name="Group 10"/>
        <xdr:cNvGrpSpPr/>
      </xdr:nvGrpSpPr>
      <xdr:grpSpPr>
        <a:xfrm>
          <a:off x="102516" y="988484"/>
          <a:ext cx="10316776" cy="2377016"/>
          <a:chOff x="102516" y="990600"/>
          <a:chExt cx="10185174" cy="2266950"/>
        </a:xfrm>
      </xdr:grpSpPr>
      <xdr:sp macro="" textlink="">
        <xdr:nvSpPr>
          <xdr:cNvPr id="3" name="Rounded Rectangle 2"/>
          <xdr:cNvSpPr/>
        </xdr:nvSpPr>
        <xdr:spPr>
          <a:xfrm>
            <a:off x="114300" y="990600"/>
            <a:ext cx="10172700" cy="2266950"/>
          </a:xfrm>
          <a:prstGeom prst="roundRect">
            <a:avLst>
              <a:gd name="adj" fmla="val 3156"/>
            </a:avLst>
          </a:prstGeom>
          <a:solidFill>
            <a:schemeClr val="bg1"/>
          </a:solidFill>
          <a:ln w="9525">
            <a:solidFill>
              <a:schemeClr val="tx1"/>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B0E2DE"/>
              </a:solidFill>
            </a:endParaRPr>
          </a:p>
        </xdr:txBody>
      </xdr:sp>
      <xdr:sp macro="" textlink="">
        <xdr:nvSpPr>
          <xdr:cNvPr id="10" name="Rounded Rectangle 9"/>
          <xdr:cNvSpPr/>
        </xdr:nvSpPr>
        <xdr:spPr>
          <a:xfrm>
            <a:off x="102516" y="990600"/>
            <a:ext cx="10185174" cy="370113"/>
          </a:xfrm>
          <a:custGeom>
            <a:avLst/>
            <a:gdLst>
              <a:gd name="connsiteX0" fmla="*/ 0 w 10153649"/>
              <a:gd name="connsiteY0" fmla="*/ 49213 h 295275"/>
              <a:gd name="connsiteX1" fmla="*/ 49213 w 10153649"/>
              <a:gd name="connsiteY1" fmla="*/ 0 h 295275"/>
              <a:gd name="connsiteX2" fmla="*/ 10104436 w 10153649"/>
              <a:gd name="connsiteY2" fmla="*/ 0 h 295275"/>
              <a:gd name="connsiteX3" fmla="*/ 10153649 w 10153649"/>
              <a:gd name="connsiteY3" fmla="*/ 49213 h 295275"/>
              <a:gd name="connsiteX4" fmla="*/ 10153649 w 10153649"/>
              <a:gd name="connsiteY4" fmla="*/ 246062 h 295275"/>
              <a:gd name="connsiteX5" fmla="*/ 10104436 w 10153649"/>
              <a:gd name="connsiteY5" fmla="*/ 295275 h 295275"/>
              <a:gd name="connsiteX6" fmla="*/ 49213 w 10153649"/>
              <a:gd name="connsiteY6" fmla="*/ 295275 h 295275"/>
              <a:gd name="connsiteX7" fmla="*/ 0 w 10153649"/>
              <a:gd name="connsiteY7" fmla="*/ 246062 h 295275"/>
              <a:gd name="connsiteX8" fmla="*/ 0 w 10153649"/>
              <a:gd name="connsiteY8" fmla="*/ 49213 h 295275"/>
              <a:gd name="connsiteX0" fmla="*/ 26236 w 10179885"/>
              <a:gd name="connsiteY0" fmla="*/ 49213 h 295275"/>
              <a:gd name="connsiteX1" fmla="*/ 75449 w 10179885"/>
              <a:gd name="connsiteY1" fmla="*/ 0 h 295275"/>
              <a:gd name="connsiteX2" fmla="*/ 10130672 w 10179885"/>
              <a:gd name="connsiteY2" fmla="*/ 0 h 295275"/>
              <a:gd name="connsiteX3" fmla="*/ 10179885 w 10179885"/>
              <a:gd name="connsiteY3" fmla="*/ 49213 h 295275"/>
              <a:gd name="connsiteX4" fmla="*/ 10179885 w 10179885"/>
              <a:gd name="connsiteY4" fmla="*/ 246062 h 295275"/>
              <a:gd name="connsiteX5" fmla="*/ 10130672 w 10179885"/>
              <a:gd name="connsiteY5" fmla="*/ 295275 h 295275"/>
              <a:gd name="connsiteX6" fmla="*/ 8774 w 10179885"/>
              <a:gd name="connsiteY6" fmla="*/ 257175 h 295275"/>
              <a:gd name="connsiteX7" fmla="*/ 26236 w 10179885"/>
              <a:gd name="connsiteY7" fmla="*/ 246062 h 295275"/>
              <a:gd name="connsiteX8" fmla="*/ 26236 w 10179885"/>
              <a:gd name="connsiteY8" fmla="*/ 49213 h 295275"/>
              <a:gd name="connsiteX0" fmla="*/ 26236 w 10180575"/>
              <a:gd name="connsiteY0" fmla="*/ 49213 h 295275"/>
              <a:gd name="connsiteX1" fmla="*/ 75449 w 10180575"/>
              <a:gd name="connsiteY1" fmla="*/ 0 h 295275"/>
              <a:gd name="connsiteX2" fmla="*/ 10130672 w 10180575"/>
              <a:gd name="connsiteY2" fmla="*/ 0 h 295275"/>
              <a:gd name="connsiteX3" fmla="*/ 10179885 w 10180575"/>
              <a:gd name="connsiteY3" fmla="*/ 49213 h 295275"/>
              <a:gd name="connsiteX4" fmla="*/ 10179885 w 10180575"/>
              <a:gd name="connsiteY4" fmla="*/ 246062 h 295275"/>
              <a:gd name="connsiteX5" fmla="*/ 10159247 w 10180575"/>
              <a:gd name="connsiteY5" fmla="*/ 295275 h 295275"/>
              <a:gd name="connsiteX6" fmla="*/ 8774 w 10180575"/>
              <a:gd name="connsiteY6" fmla="*/ 257175 h 295275"/>
              <a:gd name="connsiteX7" fmla="*/ 26236 w 10180575"/>
              <a:gd name="connsiteY7" fmla="*/ 246062 h 295275"/>
              <a:gd name="connsiteX8" fmla="*/ 26236 w 10180575"/>
              <a:gd name="connsiteY8" fmla="*/ 49213 h 295275"/>
              <a:gd name="connsiteX0" fmla="*/ 25096 w 10179435"/>
              <a:gd name="connsiteY0" fmla="*/ 49213 h 295275"/>
              <a:gd name="connsiteX1" fmla="*/ 74309 w 10179435"/>
              <a:gd name="connsiteY1" fmla="*/ 0 h 295275"/>
              <a:gd name="connsiteX2" fmla="*/ 10129532 w 10179435"/>
              <a:gd name="connsiteY2" fmla="*/ 0 h 295275"/>
              <a:gd name="connsiteX3" fmla="*/ 10178745 w 10179435"/>
              <a:gd name="connsiteY3" fmla="*/ 49213 h 295275"/>
              <a:gd name="connsiteX4" fmla="*/ 10178745 w 10179435"/>
              <a:gd name="connsiteY4" fmla="*/ 246062 h 295275"/>
              <a:gd name="connsiteX5" fmla="*/ 10158107 w 10179435"/>
              <a:gd name="connsiteY5" fmla="*/ 295275 h 295275"/>
              <a:gd name="connsiteX6" fmla="*/ 7634 w 10179435"/>
              <a:gd name="connsiteY6" fmla="*/ 257175 h 295275"/>
              <a:gd name="connsiteX7" fmla="*/ 34592 w 10179435"/>
              <a:gd name="connsiteY7" fmla="*/ 237114 h 295275"/>
              <a:gd name="connsiteX8" fmla="*/ 25096 w 10179435"/>
              <a:gd name="connsiteY8" fmla="*/ 49213 h 295275"/>
              <a:gd name="connsiteX0" fmla="*/ 0 w 10154339"/>
              <a:gd name="connsiteY0" fmla="*/ 49213 h 295275"/>
              <a:gd name="connsiteX1" fmla="*/ 49213 w 10154339"/>
              <a:gd name="connsiteY1" fmla="*/ 0 h 295275"/>
              <a:gd name="connsiteX2" fmla="*/ 10104436 w 10154339"/>
              <a:gd name="connsiteY2" fmla="*/ 0 h 295275"/>
              <a:gd name="connsiteX3" fmla="*/ 10153649 w 10154339"/>
              <a:gd name="connsiteY3" fmla="*/ 49213 h 295275"/>
              <a:gd name="connsiteX4" fmla="*/ 10153649 w 10154339"/>
              <a:gd name="connsiteY4" fmla="*/ 246062 h 295275"/>
              <a:gd name="connsiteX5" fmla="*/ 10133011 w 10154339"/>
              <a:gd name="connsiteY5" fmla="*/ 295275 h 295275"/>
              <a:gd name="connsiteX6" fmla="*/ 39515 w 10154339"/>
              <a:gd name="connsiteY6" fmla="*/ 257175 h 295275"/>
              <a:gd name="connsiteX7" fmla="*/ 9496 w 10154339"/>
              <a:gd name="connsiteY7" fmla="*/ 237114 h 295275"/>
              <a:gd name="connsiteX8" fmla="*/ 0 w 10154339"/>
              <a:gd name="connsiteY8" fmla="*/ 49213 h 295275"/>
              <a:gd name="connsiteX0" fmla="*/ 0 w 10154339"/>
              <a:gd name="connsiteY0" fmla="*/ 49213 h 295275"/>
              <a:gd name="connsiteX1" fmla="*/ 49213 w 10154339"/>
              <a:gd name="connsiteY1" fmla="*/ 0 h 295275"/>
              <a:gd name="connsiteX2" fmla="*/ 10104436 w 10154339"/>
              <a:gd name="connsiteY2" fmla="*/ 0 h 295275"/>
              <a:gd name="connsiteX3" fmla="*/ 10153649 w 10154339"/>
              <a:gd name="connsiteY3" fmla="*/ 49213 h 295275"/>
              <a:gd name="connsiteX4" fmla="*/ 10153649 w 10154339"/>
              <a:gd name="connsiteY4" fmla="*/ 246062 h 295275"/>
              <a:gd name="connsiteX5" fmla="*/ 10133011 w 10154339"/>
              <a:gd name="connsiteY5" fmla="*/ 295275 h 295275"/>
              <a:gd name="connsiteX6" fmla="*/ 30019 w 10154339"/>
              <a:gd name="connsiteY6" fmla="*/ 257175 h 295275"/>
              <a:gd name="connsiteX7" fmla="*/ 9496 w 10154339"/>
              <a:gd name="connsiteY7" fmla="*/ 237114 h 295275"/>
              <a:gd name="connsiteX8" fmla="*/ 0 w 10154339"/>
              <a:gd name="connsiteY8" fmla="*/ 49213 h 2952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0154339" h="295275">
                <a:moveTo>
                  <a:pt x="0" y="49213"/>
                </a:moveTo>
                <a:cubicBezTo>
                  <a:pt x="0" y="22033"/>
                  <a:pt x="22033" y="0"/>
                  <a:pt x="49213" y="0"/>
                </a:cubicBezTo>
                <a:lnTo>
                  <a:pt x="10104436" y="0"/>
                </a:lnTo>
                <a:cubicBezTo>
                  <a:pt x="10131616" y="0"/>
                  <a:pt x="10153649" y="22033"/>
                  <a:pt x="10153649" y="49213"/>
                </a:cubicBezTo>
                <a:lnTo>
                  <a:pt x="10153649" y="246062"/>
                </a:lnTo>
                <a:cubicBezTo>
                  <a:pt x="10153649" y="273242"/>
                  <a:pt x="10160191" y="295275"/>
                  <a:pt x="10133011" y="295275"/>
                </a:cubicBezTo>
                <a:lnTo>
                  <a:pt x="30019" y="257175"/>
                </a:lnTo>
                <a:cubicBezTo>
                  <a:pt x="2839" y="257175"/>
                  <a:pt x="9496" y="264294"/>
                  <a:pt x="9496" y="237114"/>
                </a:cubicBezTo>
                <a:lnTo>
                  <a:pt x="0" y="49213"/>
                </a:lnTo>
                <a:close/>
              </a:path>
            </a:pathLst>
          </a:custGeom>
          <a:solidFill>
            <a:srgbClr val="006664"/>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  </a:t>
            </a:r>
            <a:r>
              <a:rPr lang="en-US" sz="2000" b="1"/>
              <a:t>EXECUTIVE</a:t>
            </a:r>
            <a:r>
              <a:rPr lang="en-US" sz="2000" b="1" baseline="0"/>
              <a:t> </a:t>
            </a:r>
            <a:r>
              <a:rPr lang="en-US" sz="2000" b="1" baseline="0">
                <a:solidFill>
                  <a:schemeClr val="lt1"/>
                </a:solidFill>
                <a:latin typeface="+mn-lt"/>
                <a:ea typeface="+mn-ea"/>
                <a:cs typeface="+mn-cs"/>
              </a:rPr>
              <a:t>SUMMARY</a:t>
            </a:r>
          </a:p>
        </xdr:txBody>
      </xdr:sp>
    </xdr:grpSp>
    <xdr:clientData/>
  </xdr:twoCellAnchor>
  <xdr:twoCellAnchor>
    <xdr:from>
      <xdr:col>0</xdr:col>
      <xdr:colOff>193675</xdr:colOff>
      <xdr:row>7</xdr:row>
      <xdr:rowOff>42334</xdr:rowOff>
    </xdr:from>
    <xdr:to>
      <xdr:col>5</xdr:col>
      <xdr:colOff>211667</xdr:colOff>
      <xdr:row>17</xdr:row>
      <xdr:rowOff>10584</xdr:rowOff>
    </xdr:to>
    <xdr:sp macro="" textlink="">
      <xdr:nvSpPr>
        <xdr:cNvPr id="12" name="TextBox 11"/>
        <xdr:cNvSpPr txBox="1"/>
      </xdr:nvSpPr>
      <xdr:spPr>
        <a:xfrm>
          <a:off x="193675" y="2054490"/>
          <a:ext cx="9876367" cy="187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6664"/>
              </a:solidFill>
            </a:rPr>
            <a:t>This report presents a comprehensive analysis of 500 retail sales transactions across  </a:t>
          </a:r>
          <a:r>
            <a:rPr lang="en-US" sz="1600" b="1">
              <a:solidFill>
                <a:srgbClr val="006664"/>
              </a:solidFill>
            </a:rPr>
            <a:t>8</a:t>
          </a:r>
          <a:r>
            <a:rPr lang="en-US" sz="1600">
              <a:solidFill>
                <a:srgbClr val="006664"/>
              </a:solidFill>
            </a:rPr>
            <a:t> regions and</a:t>
          </a:r>
          <a:r>
            <a:rPr lang="en-US" sz="1600" b="1">
              <a:solidFill>
                <a:srgbClr val="006664"/>
              </a:solidFill>
            </a:rPr>
            <a:t> 5</a:t>
          </a:r>
          <a:r>
            <a:rPr lang="en-US" sz="1600">
              <a:solidFill>
                <a:srgbClr val="006664"/>
              </a:solidFill>
            </a:rPr>
            <a:t> product categories. Total revenue reached PKR </a:t>
          </a:r>
          <a:r>
            <a:rPr lang="en-US" sz="1600" b="1">
              <a:solidFill>
                <a:srgbClr val="006664"/>
              </a:solidFill>
            </a:rPr>
            <a:t>52.9M</a:t>
          </a:r>
          <a:r>
            <a:rPr lang="en-US" sz="1600">
              <a:solidFill>
                <a:srgbClr val="006664"/>
              </a:solidFill>
            </a:rPr>
            <a:t> with a total profit of PKR </a:t>
          </a:r>
          <a:r>
            <a:rPr lang="en-US" sz="1600" b="1">
              <a:solidFill>
                <a:srgbClr val="006664"/>
              </a:solidFill>
            </a:rPr>
            <a:t>9.1M</a:t>
          </a:r>
          <a:r>
            <a:rPr lang="en-US" sz="1600">
              <a:solidFill>
                <a:srgbClr val="006664"/>
              </a:solidFill>
            </a:rPr>
            <a:t> and an average profit margin of </a:t>
          </a:r>
          <a:r>
            <a:rPr lang="en-US" sz="1600" b="1">
              <a:solidFill>
                <a:srgbClr val="006664"/>
              </a:solidFill>
            </a:rPr>
            <a:t>26.04%</a:t>
          </a:r>
          <a:r>
            <a:rPr lang="en-US" sz="1600">
              <a:solidFill>
                <a:srgbClr val="006664"/>
              </a:solidFill>
            </a:rPr>
            <a:t>. </a:t>
          </a:r>
          <a:r>
            <a:rPr lang="en-US" sz="1600" b="1">
              <a:solidFill>
                <a:srgbClr val="006664"/>
              </a:solidFill>
            </a:rPr>
            <a:t>Electronics</a:t>
          </a:r>
          <a:r>
            <a:rPr lang="en-US" sz="1600">
              <a:solidFill>
                <a:srgbClr val="006664"/>
              </a:solidFill>
            </a:rPr>
            <a:t> emerged as the dominant category contributing </a:t>
          </a:r>
          <a:r>
            <a:rPr lang="en-US" sz="1600" b="1">
              <a:solidFill>
                <a:srgbClr val="006664"/>
              </a:solidFill>
            </a:rPr>
            <a:t>63%</a:t>
          </a:r>
          <a:r>
            <a:rPr lang="en-US" sz="1600">
              <a:solidFill>
                <a:srgbClr val="006664"/>
              </a:solidFill>
            </a:rPr>
            <a:t> of total revenue. </a:t>
          </a:r>
          <a:r>
            <a:rPr lang="en-US" sz="1600" b="1">
              <a:solidFill>
                <a:srgbClr val="006664"/>
              </a:solidFill>
            </a:rPr>
            <a:t>Lahore</a:t>
          </a:r>
          <a:r>
            <a:rPr lang="en-US" sz="1600">
              <a:solidFill>
                <a:srgbClr val="006664"/>
              </a:solidFill>
            </a:rPr>
            <a:t> led in regional revenue while Quetta recorded the lowest. </a:t>
          </a:r>
          <a:r>
            <a:rPr lang="en-US" sz="1600" b="1">
              <a:solidFill>
                <a:srgbClr val="006664"/>
              </a:solidFill>
            </a:rPr>
            <a:t>Bilal</a:t>
          </a:r>
          <a:r>
            <a:rPr lang="en-US" sz="1600">
              <a:solidFill>
                <a:srgbClr val="006664"/>
              </a:solidFill>
            </a:rPr>
            <a:t> </a:t>
          </a:r>
          <a:r>
            <a:rPr lang="en-US" sz="1600" b="1">
              <a:solidFill>
                <a:srgbClr val="006664"/>
              </a:solidFill>
            </a:rPr>
            <a:t>Hussain </a:t>
          </a:r>
          <a:r>
            <a:rPr lang="en-US" sz="1600">
              <a:solidFill>
                <a:srgbClr val="006664"/>
              </a:solidFill>
            </a:rPr>
            <a:t>was the top performing salesperson by profit, and</a:t>
          </a:r>
          <a:r>
            <a:rPr lang="en-US" sz="1600" b="1">
              <a:solidFill>
                <a:srgbClr val="006664"/>
              </a:solidFill>
            </a:rPr>
            <a:t> 290 </a:t>
          </a:r>
          <a:r>
            <a:rPr lang="en-US" sz="1600">
              <a:solidFill>
                <a:srgbClr val="006664"/>
              </a:solidFill>
            </a:rPr>
            <a:t>out of 500 orders were successfully delivered.</a:t>
          </a:r>
        </a:p>
      </xdr:txBody>
    </xdr:sp>
    <xdr:clientData/>
  </xdr:twoCellAnchor>
  <xdr:twoCellAnchor>
    <xdr:from>
      <xdr:col>0</xdr:col>
      <xdr:colOff>116415</xdr:colOff>
      <xdr:row>18</xdr:row>
      <xdr:rowOff>21168</xdr:rowOff>
    </xdr:from>
    <xdr:to>
      <xdr:col>5</xdr:col>
      <xdr:colOff>559593</xdr:colOff>
      <xdr:row>30</xdr:row>
      <xdr:rowOff>148168</xdr:rowOff>
    </xdr:to>
    <xdr:grpSp>
      <xdr:nvGrpSpPr>
        <xdr:cNvPr id="15" name="Group 14"/>
        <xdr:cNvGrpSpPr/>
      </xdr:nvGrpSpPr>
      <xdr:grpSpPr>
        <a:xfrm>
          <a:off x="116415" y="3481918"/>
          <a:ext cx="10301553" cy="3397250"/>
          <a:chOff x="116415" y="3418418"/>
          <a:chExt cx="9039372" cy="2489644"/>
        </a:xfrm>
      </xdr:grpSpPr>
      <xdr:sp macro="" textlink="">
        <xdr:nvSpPr>
          <xdr:cNvPr id="13" name="Rounded Rectangle 12"/>
          <xdr:cNvSpPr/>
        </xdr:nvSpPr>
        <xdr:spPr>
          <a:xfrm>
            <a:off x="116415" y="3418418"/>
            <a:ext cx="9006417" cy="2489644"/>
          </a:xfrm>
          <a:prstGeom prst="roundRect">
            <a:avLst>
              <a:gd name="adj" fmla="val 2033"/>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ounded Rectangle 13"/>
          <xdr:cNvSpPr/>
        </xdr:nvSpPr>
        <xdr:spPr>
          <a:xfrm>
            <a:off x="116419" y="3429002"/>
            <a:ext cx="9039368" cy="359833"/>
          </a:xfrm>
          <a:custGeom>
            <a:avLst/>
            <a:gdLst>
              <a:gd name="connsiteX0" fmla="*/ 0 w 8985249"/>
              <a:gd name="connsiteY0" fmla="*/ 54682 h 328083"/>
              <a:gd name="connsiteX1" fmla="*/ 54682 w 8985249"/>
              <a:gd name="connsiteY1" fmla="*/ 0 h 328083"/>
              <a:gd name="connsiteX2" fmla="*/ 8930567 w 8985249"/>
              <a:gd name="connsiteY2" fmla="*/ 0 h 328083"/>
              <a:gd name="connsiteX3" fmla="*/ 8985249 w 8985249"/>
              <a:gd name="connsiteY3" fmla="*/ 54682 h 328083"/>
              <a:gd name="connsiteX4" fmla="*/ 8985249 w 8985249"/>
              <a:gd name="connsiteY4" fmla="*/ 273401 h 328083"/>
              <a:gd name="connsiteX5" fmla="*/ 8930567 w 8985249"/>
              <a:gd name="connsiteY5" fmla="*/ 328083 h 328083"/>
              <a:gd name="connsiteX6" fmla="*/ 54682 w 8985249"/>
              <a:gd name="connsiteY6" fmla="*/ 328083 h 328083"/>
              <a:gd name="connsiteX7" fmla="*/ 0 w 8985249"/>
              <a:gd name="connsiteY7" fmla="*/ 273401 h 328083"/>
              <a:gd name="connsiteX8" fmla="*/ 0 w 8985249"/>
              <a:gd name="connsiteY8" fmla="*/ 54682 h 328083"/>
              <a:gd name="connsiteX0" fmla="*/ 29150 w 9014399"/>
              <a:gd name="connsiteY0" fmla="*/ 54682 h 349249"/>
              <a:gd name="connsiteX1" fmla="*/ 83832 w 9014399"/>
              <a:gd name="connsiteY1" fmla="*/ 0 h 349249"/>
              <a:gd name="connsiteX2" fmla="*/ 8959717 w 9014399"/>
              <a:gd name="connsiteY2" fmla="*/ 0 h 349249"/>
              <a:gd name="connsiteX3" fmla="*/ 9014399 w 9014399"/>
              <a:gd name="connsiteY3" fmla="*/ 54682 h 349249"/>
              <a:gd name="connsiteX4" fmla="*/ 9014399 w 9014399"/>
              <a:gd name="connsiteY4" fmla="*/ 273401 h 349249"/>
              <a:gd name="connsiteX5" fmla="*/ 8959717 w 9014399"/>
              <a:gd name="connsiteY5" fmla="*/ 328083 h 349249"/>
              <a:gd name="connsiteX6" fmla="*/ 9749 w 9014399"/>
              <a:gd name="connsiteY6" fmla="*/ 349249 h 349249"/>
              <a:gd name="connsiteX7" fmla="*/ 29150 w 9014399"/>
              <a:gd name="connsiteY7" fmla="*/ 273401 h 349249"/>
              <a:gd name="connsiteX8" fmla="*/ 29150 w 9014399"/>
              <a:gd name="connsiteY8" fmla="*/ 54682 h 349249"/>
              <a:gd name="connsiteX0" fmla="*/ 0 w 8985249"/>
              <a:gd name="connsiteY0" fmla="*/ 54682 h 359833"/>
              <a:gd name="connsiteX1" fmla="*/ 54682 w 8985249"/>
              <a:gd name="connsiteY1" fmla="*/ 0 h 359833"/>
              <a:gd name="connsiteX2" fmla="*/ 8930567 w 8985249"/>
              <a:gd name="connsiteY2" fmla="*/ 0 h 359833"/>
              <a:gd name="connsiteX3" fmla="*/ 8985249 w 8985249"/>
              <a:gd name="connsiteY3" fmla="*/ 54682 h 359833"/>
              <a:gd name="connsiteX4" fmla="*/ 8985249 w 8985249"/>
              <a:gd name="connsiteY4" fmla="*/ 273401 h 359833"/>
              <a:gd name="connsiteX5" fmla="*/ 8930567 w 8985249"/>
              <a:gd name="connsiteY5" fmla="*/ 328083 h 359833"/>
              <a:gd name="connsiteX6" fmla="*/ 44099 w 8985249"/>
              <a:gd name="connsiteY6" fmla="*/ 359833 h 359833"/>
              <a:gd name="connsiteX7" fmla="*/ 0 w 8985249"/>
              <a:gd name="connsiteY7" fmla="*/ 273401 h 359833"/>
              <a:gd name="connsiteX8" fmla="*/ 0 w 8985249"/>
              <a:gd name="connsiteY8" fmla="*/ 54682 h 359833"/>
              <a:gd name="connsiteX0" fmla="*/ 0 w 8985249"/>
              <a:gd name="connsiteY0" fmla="*/ 54682 h 359833"/>
              <a:gd name="connsiteX1" fmla="*/ 54682 w 8985249"/>
              <a:gd name="connsiteY1" fmla="*/ 0 h 359833"/>
              <a:gd name="connsiteX2" fmla="*/ 8930567 w 8985249"/>
              <a:gd name="connsiteY2" fmla="*/ 0 h 359833"/>
              <a:gd name="connsiteX3" fmla="*/ 8985249 w 8985249"/>
              <a:gd name="connsiteY3" fmla="*/ 54682 h 359833"/>
              <a:gd name="connsiteX4" fmla="*/ 8985249 w 8985249"/>
              <a:gd name="connsiteY4" fmla="*/ 273401 h 359833"/>
              <a:gd name="connsiteX5" fmla="*/ 8930567 w 8985249"/>
              <a:gd name="connsiteY5" fmla="*/ 338667 h 359833"/>
              <a:gd name="connsiteX6" fmla="*/ 44099 w 8985249"/>
              <a:gd name="connsiteY6" fmla="*/ 359833 h 359833"/>
              <a:gd name="connsiteX7" fmla="*/ 0 w 8985249"/>
              <a:gd name="connsiteY7" fmla="*/ 273401 h 359833"/>
              <a:gd name="connsiteX8" fmla="*/ 0 w 8985249"/>
              <a:gd name="connsiteY8" fmla="*/ 54682 h 359833"/>
              <a:gd name="connsiteX0" fmla="*/ 0 w 8986016"/>
              <a:gd name="connsiteY0" fmla="*/ 54682 h 359833"/>
              <a:gd name="connsiteX1" fmla="*/ 54682 w 8986016"/>
              <a:gd name="connsiteY1" fmla="*/ 0 h 359833"/>
              <a:gd name="connsiteX2" fmla="*/ 8930567 w 8986016"/>
              <a:gd name="connsiteY2" fmla="*/ 0 h 359833"/>
              <a:gd name="connsiteX3" fmla="*/ 8985249 w 8986016"/>
              <a:gd name="connsiteY3" fmla="*/ 54682 h 359833"/>
              <a:gd name="connsiteX4" fmla="*/ 8985249 w 8986016"/>
              <a:gd name="connsiteY4" fmla="*/ 273401 h 359833"/>
              <a:gd name="connsiteX5" fmla="*/ 8962317 w 8986016"/>
              <a:gd name="connsiteY5" fmla="*/ 328084 h 359833"/>
              <a:gd name="connsiteX6" fmla="*/ 44099 w 8986016"/>
              <a:gd name="connsiteY6" fmla="*/ 359833 h 359833"/>
              <a:gd name="connsiteX7" fmla="*/ 0 w 8986016"/>
              <a:gd name="connsiteY7" fmla="*/ 273401 h 359833"/>
              <a:gd name="connsiteX8" fmla="*/ 0 w 8986016"/>
              <a:gd name="connsiteY8" fmla="*/ 54682 h 359833"/>
              <a:gd name="connsiteX0" fmla="*/ 0 w 8985249"/>
              <a:gd name="connsiteY0" fmla="*/ 54682 h 359833"/>
              <a:gd name="connsiteX1" fmla="*/ 54682 w 8985249"/>
              <a:gd name="connsiteY1" fmla="*/ 0 h 359833"/>
              <a:gd name="connsiteX2" fmla="*/ 8930567 w 8985249"/>
              <a:gd name="connsiteY2" fmla="*/ 0 h 359833"/>
              <a:gd name="connsiteX3" fmla="*/ 8985249 w 8985249"/>
              <a:gd name="connsiteY3" fmla="*/ 54682 h 359833"/>
              <a:gd name="connsiteX4" fmla="*/ 8985249 w 8985249"/>
              <a:gd name="connsiteY4" fmla="*/ 273401 h 359833"/>
              <a:gd name="connsiteX5" fmla="*/ 8941150 w 8985249"/>
              <a:gd name="connsiteY5" fmla="*/ 328084 h 359833"/>
              <a:gd name="connsiteX6" fmla="*/ 44099 w 8985249"/>
              <a:gd name="connsiteY6" fmla="*/ 359833 h 359833"/>
              <a:gd name="connsiteX7" fmla="*/ 0 w 8985249"/>
              <a:gd name="connsiteY7" fmla="*/ 273401 h 359833"/>
              <a:gd name="connsiteX8" fmla="*/ 0 w 8985249"/>
              <a:gd name="connsiteY8" fmla="*/ 54682 h 359833"/>
              <a:gd name="connsiteX0" fmla="*/ 0 w 8985249"/>
              <a:gd name="connsiteY0" fmla="*/ 54682 h 359833"/>
              <a:gd name="connsiteX1" fmla="*/ 54682 w 8985249"/>
              <a:gd name="connsiteY1" fmla="*/ 0 h 359833"/>
              <a:gd name="connsiteX2" fmla="*/ 8930567 w 8985249"/>
              <a:gd name="connsiteY2" fmla="*/ 0 h 359833"/>
              <a:gd name="connsiteX3" fmla="*/ 8985249 w 8985249"/>
              <a:gd name="connsiteY3" fmla="*/ 54682 h 359833"/>
              <a:gd name="connsiteX4" fmla="*/ 8985249 w 8985249"/>
              <a:gd name="connsiteY4" fmla="*/ 273401 h 359833"/>
              <a:gd name="connsiteX5" fmla="*/ 8941150 w 8985249"/>
              <a:gd name="connsiteY5" fmla="*/ 338667 h 359833"/>
              <a:gd name="connsiteX6" fmla="*/ 44099 w 8985249"/>
              <a:gd name="connsiteY6" fmla="*/ 359833 h 359833"/>
              <a:gd name="connsiteX7" fmla="*/ 0 w 8985249"/>
              <a:gd name="connsiteY7" fmla="*/ 273401 h 359833"/>
              <a:gd name="connsiteX8" fmla="*/ 0 w 8985249"/>
              <a:gd name="connsiteY8" fmla="*/ 54682 h 359833"/>
              <a:gd name="connsiteX0" fmla="*/ 0 w 9023712"/>
              <a:gd name="connsiteY0" fmla="*/ 54682 h 359833"/>
              <a:gd name="connsiteX1" fmla="*/ 54682 w 9023712"/>
              <a:gd name="connsiteY1" fmla="*/ 0 h 359833"/>
              <a:gd name="connsiteX2" fmla="*/ 8930567 w 9023712"/>
              <a:gd name="connsiteY2" fmla="*/ 0 h 359833"/>
              <a:gd name="connsiteX3" fmla="*/ 8985249 w 9023712"/>
              <a:gd name="connsiteY3" fmla="*/ 54682 h 359833"/>
              <a:gd name="connsiteX4" fmla="*/ 8985249 w 9023712"/>
              <a:gd name="connsiteY4" fmla="*/ 273401 h 359833"/>
              <a:gd name="connsiteX5" fmla="*/ 9015234 w 9023712"/>
              <a:gd name="connsiteY5" fmla="*/ 338667 h 359833"/>
              <a:gd name="connsiteX6" fmla="*/ 44099 w 9023712"/>
              <a:gd name="connsiteY6" fmla="*/ 359833 h 359833"/>
              <a:gd name="connsiteX7" fmla="*/ 0 w 9023712"/>
              <a:gd name="connsiteY7" fmla="*/ 273401 h 359833"/>
              <a:gd name="connsiteX8" fmla="*/ 0 w 9023712"/>
              <a:gd name="connsiteY8" fmla="*/ 54682 h 359833"/>
              <a:gd name="connsiteX0" fmla="*/ 0 w 9015234"/>
              <a:gd name="connsiteY0" fmla="*/ 54682 h 359833"/>
              <a:gd name="connsiteX1" fmla="*/ 54682 w 9015234"/>
              <a:gd name="connsiteY1" fmla="*/ 0 h 359833"/>
              <a:gd name="connsiteX2" fmla="*/ 8930567 w 9015234"/>
              <a:gd name="connsiteY2" fmla="*/ 0 h 359833"/>
              <a:gd name="connsiteX3" fmla="*/ 8985249 w 9015234"/>
              <a:gd name="connsiteY3" fmla="*/ 54682 h 359833"/>
              <a:gd name="connsiteX4" fmla="*/ 8985249 w 9015234"/>
              <a:gd name="connsiteY4" fmla="*/ 273401 h 359833"/>
              <a:gd name="connsiteX5" fmla="*/ 9015234 w 9015234"/>
              <a:gd name="connsiteY5" fmla="*/ 338667 h 359833"/>
              <a:gd name="connsiteX6" fmla="*/ 44099 w 9015234"/>
              <a:gd name="connsiteY6" fmla="*/ 359833 h 359833"/>
              <a:gd name="connsiteX7" fmla="*/ 0 w 9015234"/>
              <a:gd name="connsiteY7" fmla="*/ 273401 h 359833"/>
              <a:gd name="connsiteX8" fmla="*/ 0 w 9015234"/>
              <a:gd name="connsiteY8" fmla="*/ 54682 h 35983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015234" h="359833">
                <a:moveTo>
                  <a:pt x="0" y="54682"/>
                </a:moveTo>
                <a:cubicBezTo>
                  <a:pt x="0" y="24482"/>
                  <a:pt x="24482" y="0"/>
                  <a:pt x="54682" y="0"/>
                </a:cubicBezTo>
                <a:lnTo>
                  <a:pt x="8930567" y="0"/>
                </a:lnTo>
                <a:cubicBezTo>
                  <a:pt x="8960767" y="0"/>
                  <a:pt x="8985249" y="24482"/>
                  <a:pt x="8985249" y="54682"/>
                </a:cubicBezTo>
                <a:lnTo>
                  <a:pt x="8985249" y="273401"/>
                </a:lnTo>
                <a:cubicBezTo>
                  <a:pt x="8985249" y="303601"/>
                  <a:pt x="9003101" y="338667"/>
                  <a:pt x="9015234" y="338667"/>
                </a:cubicBezTo>
                <a:lnTo>
                  <a:pt x="44099" y="359833"/>
                </a:lnTo>
                <a:cubicBezTo>
                  <a:pt x="13899" y="359833"/>
                  <a:pt x="0" y="303601"/>
                  <a:pt x="0" y="273401"/>
                </a:cubicBezTo>
                <a:lnTo>
                  <a:pt x="0" y="54682"/>
                </a:lnTo>
                <a:close/>
              </a:path>
            </a:pathLst>
          </a:custGeom>
          <a:solidFill>
            <a:srgbClr val="0066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2000" b="1">
                <a:solidFill>
                  <a:schemeClr val="lt1"/>
                </a:solidFill>
                <a:latin typeface="+mn-lt"/>
                <a:ea typeface="+mn-ea"/>
                <a:cs typeface="+mn-cs"/>
              </a:rPr>
              <a:t>  KEY FINDINGS</a:t>
            </a:r>
          </a:p>
        </xdr:txBody>
      </xdr:sp>
    </xdr:grpSp>
    <xdr:clientData/>
  </xdr:twoCellAnchor>
  <xdr:twoCellAnchor>
    <xdr:from>
      <xdr:col>0</xdr:col>
      <xdr:colOff>119063</xdr:colOff>
      <xdr:row>31</xdr:row>
      <xdr:rowOff>95249</xdr:rowOff>
    </xdr:from>
    <xdr:to>
      <xdr:col>5</xdr:col>
      <xdr:colOff>572486</xdr:colOff>
      <xdr:row>46</xdr:row>
      <xdr:rowOff>166687</xdr:rowOff>
    </xdr:to>
    <xdr:grpSp>
      <xdr:nvGrpSpPr>
        <xdr:cNvPr id="27" name="Group 26"/>
        <xdr:cNvGrpSpPr/>
      </xdr:nvGrpSpPr>
      <xdr:grpSpPr>
        <a:xfrm>
          <a:off x="119063" y="7016749"/>
          <a:ext cx="10311798" cy="2928938"/>
          <a:chOff x="130969" y="7119937"/>
          <a:chExt cx="10311798" cy="2928938"/>
        </a:xfrm>
      </xdr:grpSpPr>
      <xdr:grpSp>
        <xdr:nvGrpSpPr>
          <xdr:cNvPr id="21" name="Group 20"/>
          <xdr:cNvGrpSpPr/>
        </xdr:nvGrpSpPr>
        <xdr:grpSpPr>
          <a:xfrm>
            <a:off x="130969" y="7119937"/>
            <a:ext cx="10311798" cy="2928938"/>
            <a:chOff x="119062" y="7060406"/>
            <a:chExt cx="10311798" cy="2928938"/>
          </a:xfrm>
        </xdr:grpSpPr>
        <xdr:sp macro="" textlink="">
          <xdr:nvSpPr>
            <xdr:cNvPr id="16" name="Rounded Rectangle 15"/>
            <xdr:cNvSpPr/>
          </xdr:nvSpPr>
          <xdr:spPr>
            <a:xfrm>
              <a:off x="119062" y="7060406"/>
              <a:ext cx="10310814" cy="2928938"/>
            </a:xfrm>
            <a:prstGeom prst="roundRect">
              <a:avLst>
                <a:gd name="adj" fmla="val 3659"/>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ounded Rectangle 16"/>
            <xdr:cNvSpPr/>
          </xdr:nvSpPr>
          <xdr:spPr>
            <a:xfrm>
              <a:off x="125609" y="7060406"/>
              <a:ext cx="10305251" cy="453424"/>
            </a:xfrm>
            <a:custGeom>
              <a:avLst/>
              <a:gdLst>
                <a:gd name="connsiteX0" fmla="*/ 0 w 10298905"/>
                <a:gd name="connsiteY0" fmla="*/ 83346 h 500063"/>
                <a:gd name="connsiteX1" fmla="*/ 83346 w 10298905"/>
                <a:gd name="connsiteY1" fmla="*/ 0 h 500063"/>
                <a:gd name="connsiteX2" fmla="*/ 10215559 w 10298905"/>
                <a:gd name="connsiteY2" fmla="*/ 0 h 500063"/>
                <a:gd name="connsiteX3" fmla="*/ 10298905 w 10298905"/>
                <a:gd name="connsiteY3" fmla="*/ 83346 h 500063"/>
                <a:gd name="connsiteX4" fmla="*/ 10298905 w 10298905"/>
                <a:gd name="connsiteY4" fmla="*/ 416717 h 500063"/>
                <a:gd name="connsiteX5" fmla="*/ 10215559 w 10298905"/>
                <a:gd name="connsiteY5" fmla="*/ 500063 h 500063"/>
                <a:gd name="connsiteX6" fmla="*/ 83346 w 10298905"/>
                <a:gd name="connsiteY6" fmla="*/ 500063 h 500063"/>
                <a:gd name="connsiteX7" fmla="*/ 0 w 10298905"/>
                <a:gd name="connsiteY7" fmla="*/ 416717 h 500063"/>
                <a:gd name="connsiteX8" fmla="*/ 0 w 10298905"/>
                <a:gd name="connsiteY8" fmla="*/ 83346 h 500063"/>
                <a:gd name="connsiteX0" fmla="*/ 20456 w 10319361"/>
                <a:gd name="connsiteY0" fmla="*/ 83346 h 511969"/>
                <a:gd name="connsiteX1" fmla="*/ 103802 w 10319361"/>
                <a:gd name="connsiteY1" fmla="*/ 0 h 511969"/>
                <a:gd name="connsiteX2" fmla="*/ 10236015 w 10319361"/>
                <a:gd name="connsiteY2" fmla="*/ 0 h 511969"/>
                <a:gd name="connsiteX3" fmla="*/ 10319361 w 10319361"/>
                <a:gd name="connsiteY3" fmla="*/ 83346 h 511969"/>
                <a:gd name="connsiteX4" fmla="*/ 10319361 w 10319361"/>
                <a:gd name="connsiteY4" fmla="*/ 416717 h 511969"/>
                <a:gd name="connsiteX5" fmla="*/ 10236015 w 10319361"/>
                <a:gd name="connsiteY5" fmla="*/ 500063 h 511969"/>
                <a:gd name="connsiteX6" fmla="*/ 20458 w 10319361"/>
                <a:gd name="connsiteY6" fmla="*/ 511969 h 511969"/>
                <a:gd name="connsiteX7" fmla="*/ 20456 w 10319361"/>
                <a:gd name="connsiteY7" fmla="*/ 416717 h 511969"/>
                <a:gd name="connsiteX8" fmla="*/ 20456 w 10319361"/>
                <a:gd name="connsiteY8" fmla="*/ 83346 h 511969"/>
                <a:gd name="connsiteX0" fmla="*/ 20456 w 10320347"/>
                <a:gd name="connsiteY0" fmla="*/ 83346 h 511969"/>
                <a:gd name="connsiteX1" fmla="*/ 103802 w 10320347"/>
                <a:gd name="connsiteY1" fmla="*/ 0 h 511969"/>
                <a:gd name="connsiteX2" fmla="*/ 10236015 w 10320347"/>
                <a:gd name="connsiteY2" fmla="*/ 0 h 511969"/>
                <a:gd name="connsiteX3" fmla="*/ 10319361 w 10320347"/>
                <a:gd name="connsiteY3" fmla="*/ 83346 h 511969"/>
                <a:gd name="connsiteX4" fmla="*/ 10319361 w 10320347"/>
                <a:gd name="connsiteY4" fmla="*/ 416717 h 511969"/>
                <a:gd name="connsiteX5" fmla="*/ 10283640 w 10320347"/>
                <a:gd name="connsiteY5" fmla="*/ 500063 h 511969"/>
                <a:gd name="connsiteX6" fmla="*/ 20458 w 10320347"/>
                <a:gd name="connsiteY6" fmla="*/ 511969 h 511969"/>
                <a:gd name="connsiteX7" fmla="*/ 20456 w 10320347"/>
                <a:gd name="connsiteY7" fmla="*/ 416717 h 511969"/>
                <a:gd name="connsiteX8" fmla="*/ 20456 w 10320347"/>
                <a:gd name="connsiteY8" fmla="*/ 83346 h 511969"/>
                <a:gd name="connsiteX0" fmla="*/ 20456 w 10349035"/>
                <a:gd name="connsiteY0" fmla="*/ 83346 h 511969"/>
                <a:gd name="connsiteX1" fmla="*/ 103802 w 10349035"/>
                <a:gd name="connsiteY1" fmla="*/ 0 h 511969"/>
                <a:gd name="connsiteX2" fmla="*/ 10236015 w 10349035"/>
                <a:gd name="connsiteY2" fmla="*/ 0 h 511969"/>
                <a:gd name="connsiteX3" fmla="*/ 10319361 w 10349035"/>
                <a:gd name="connsiteY3" fmla="*/ 83346 h 511969"/>
                <a:gd name="connsiteX4" fmla="*/ 10319361 w 10349035"/>
                <a:gd name="connsiteY4" fmla="*/ 416717 h 511969"/>
                <a:gd name="connsiteX5" fmla="*/ 10331265 w 10349035"/>
                <a:gd name="connsiteY5" fmla="*/ 500063 h 511969"/>
                <a:gd name="connsiteX6" fmla="*/ 20458 w 10349035"/>
                <a:gd name="connsiteY6" fmla="*/ 511969 h 511969"/>
                <a:gd name="connsiteX7" fmla="*/ 20456 w 10349035"/>
                <a:gd name="connsiteY7" fmla="*/ 416717 h 511969"/>
                <a:gd name="connsiteX8" fmla="*/ 20456 w 10349035"/>
                <a:gd name="connsiteY8" fmla="*/ 83346 h 511969"/>
                <a:gd name="connsiteX0" fmla="*/ 20456 w 10320347"/>
                <a:gd name="connsiteY0" fmla="*/ 83346 h 511969"/>
                <a:gd name="connsiteX1" fmla="*/ 103802 w 10320347"/>
                <a:gd name="connsiteY1" fmla="*/ 0 h 511969"/>
                <a:gd name="connsiteX2" fmla="*/ 10236015 w 10320347"/>
                <a:gd name="connsiteY2" fmla="*/ 0 h 511969"/>
                <a:gd name="connsiteX3" fmla="*/ 10319361 w 10320347"/>
                <a:gd name="connsiteY3" fmla="*/ 83346 h 511969"/>
                <a:gd name="connsiteX4" fmla="*/ 10319361 w 10320347"/>
                <a:gd name="connsiteY4" fmla="*/ 416717 h 511969"/>
                <a:gd name="connsiteX5" fmla="*/ 10283640 w 10320347"/>
                <a:gd name="connsiteY5" fmla="*/ 452438 h 511969"/>
                <a:gd name="connsiteX6" fmla="*/ 20458 w 10320347"/>
                <a:gd name="connsiteY6" fmla="*/ 511969 h 511969"/>
                <a:gd name="connsiteX7" fmla="*/ 20456 w 10320347"/>
                <a:gd name="connsiteY7" fmla="*/ 416717 h 511969"/>
                <a:gd name="connsiteX8" fmla="*/ 20456 w 10320347"/>
                <a:gd name="connsiteY8" fmla="*/ 83346 h 511969"/>
                <a:gd name="connsiteX0" fmla="*/ 5360 w 10305251"/>
                <a:gd name="connsiteY0" fmla="*/ 83346 h 464344"/>
                <a:gd name="connsiteX1" fmla="*/ 88706 w 10305251"/>
                <a:gd name="connsiteY1" fmla="*/ 0 h 464344"/>
                <a:gd name="connsiteX2" fmla="*/ 10220919 w 10305251"/>
                <a:gd name="connsiteY2" fmla="*/ 0 h 464344"/>
                <a:gd name="connsiteX3" fmla="*/ 10304265 w 10305251"/>
                <a:gd name="connsiteY3" fmla="*/ 83346 h 464344"/>
                <a:gd name="connsiteX4" fmla="*/ 10304265 w 10305251"/>
                <a:gd name="connsiteY4" fmla="*/ 416717 h 464344"/>
                <a:gd name="connsiteX5" fmla="*/ 10268544 w 10305251"/>
                <a:gd name="connsiteY5" fmla="*/ 452438 h 464344"/>
                <a:gd name="connsiteX6" fmla="*/ 29175 w 10305251"/>
                <a:gd name="connsiteY6" fmla="*/ 464344 h 464344"/>
                <a:gd name="connsiteX7" fmla="*/ 5360 w 10305251"/>
                <a:gd name="connsiteY7" fmla="*/ 416717 h 464344"/>
                <a:gd name="connsiteX8" fmla="*/ 5360 w 10305251"/>
                <a:gd name="connsiteY8" fmla="*/ 83346 h 464344"/>
                <a:gd name="connsiteX0" fmla="*/ 5360 w 10305251"/>
                <a:gd name="connsiteY0" fmla="*/ 83346 h 453424"/>
                <a:gd name="connsiteX1" fmla="*/ 88706 w 10305251"/>
                <a:gd name="connsiteY1" fmla="*/ 0 h 453424"/>
                <a:gd name="connsiteX2" fmla="*/ 10220919 w 10305251"/>
                <a:gd name="connsiteY2" fmla="*/ 0 h 453424"/>
                <a:gd name="connsiteX3" fmla="*/ 10304265 w 10305251"/>
                <a:gd name="connsiteY3" fmla="*/ 83346 h 453424"/>
                <a:gd name="connsiteX4" fmla="*/ 10304265 w 10305251"/>
                <a:gd name="connsiteY4" fmla="*/ 416717 h 453424"/>
                <a:gd name="connsiteX5" fmla="*/ 10268544 w 10305251"/>
                <a:gd name="connsiteY5" fmla="*/ 452438 h 453424"/>
                <a:gd name="connsiteX6" fmla="*/ 29175 w 10305251"/>
                <a:gd name="connsiteY6" fmla="*/ 440531 h 453424"/>
                <a:gd name="connsiteX7" fmla="*/ 5360 w 10305251"/>
                <a:gd name="connsiteY7" fmla="*/ 416717 h 453424"/>
                <a:gd name="connsiteX8" fmla="*/ 5360 w 10305251"/>
                <a:gd name="connsiteY8" fmla="*/ 83346 h 4534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0305251" h="453424">
                  <a:moveTo>
                    <a:pt x="5360" y="83346"/>
                  </a:moveTo>
                  <a:cubicBezTo>
                    <a:pt x="5360" y="37315"/>
                    <a:pt x="42675" y="0"/>
                    <a:pt x="88706" y="0"/>
                  </a:cubicBezTo>
                  <a:lnTo>
                    <a:pt x="10220919" y="0"/>
                  </a:lnTo>
                  <a:cubicBezTo>
                    <a:pt x="10266950" y="0"/>
                    <a:pt x="10304265" y="37315"/>
                    <a:pt x="10304265" y="83346"/>
                  </a:cubicBezTo>
                  <a:lnTo>
                    <a:pt x="10304265" y="416717"/>
                  </a:lnTo>
                  <a:cubicBezTo>
                    <a:pt x="10304265" y="462748"/>
                    <a:pt x="10314575" y="452438"/>
                    <a:pt x="10268544" y="452438"/>
                  </a:cubicBezTo>
                  <a:lnTo>
                    <a:pt x="29175" y="440531"/>
                  </a:lnTo>
                  <a:cubicBezTo>
                    <a:pt x="-16856" y="440531"/>
                    <a:pt x="5360" y="462748"/>
                    <a:pt x="5360" y="416717"/>
                  </a:cubicBezTo>
                  <a:lnTo>
                    <a:pt x="5360" y="83346"/>
                  </a:lnTo>
                  <a:close/>
                </a:path>
              </a:pathLst>
            </a:custGeom>
            <a:solidFill>
              <a:srgbClr val="0066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solidFill>
                    <a:schemeClr val="bg1"/>
                  </a:solidFill>
                </a:rPr>
                <a:t> RECOMMENDATIONS</a:t>
              </a:r>
            </a:p>
          </xdr:txBody>
        </xdr:sp>
        <xdr:sp macro="" textlink="">
          <xdr:nvSpPr>
            <xdr:cNvPr id="19" name="Rounded Rectangle 18"/>
            <xdr:cNvSpPr/>
          </xdr:nvSpPr>
          <xdr:spPr>
            <a:xfrm>
              <a:off x="190499" y="7667624"/>
              <a:ext cx="3226594" cy="2190751"/>
            </a:xfrm>
            <a:prstGeom prst="roundRect">
              <a:avLst>
                <a:gd name="adj" fmla="val 7527"/>
              </a:avLst>
            </a:prstGeom>
            <a:solidFill>
              <a:srgbClr val="D2F0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2" name="Rounded Rectangle 21"/>
          <xdr:cNvSpPr/>
        </xdr:nvSpPr>
        <xdr:spPr>
          <a:xfrm>
            <a:off x="3605212" y="7750969"/>
            <a:ext cx="3333750" cy="2155032"/>
          </a:xfrm>
          <a:prstGeom prst="roundRect">
            <a:avLst>
              <a:gd name="adj" fmla="val 7631"/>
            </a:avLst>
          </a:prstGeom>
          <a:solidFill>
            <a:srgbClr val="D2F0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ounded Rectangle 22"/>
          <xdr:cNvSpPr/>
        </xdr:nvSpPr>
        <xdr:spPr>
          <a:xfrm>
            <a:off x="7108031" y="7774781"/>
            <a:ext cx="3226594" cy="2107406"/>
          </a:xfrm>
          <a:prstGeom prst="roundRect">
            <a:avLst>
              <a:gd name="adj" fmla="val 7527"/>
            </a:avLst>
          </a:prstGeom>
          <a:solidFill>
            <a:srgbClr val="D2F0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Flowchart: Connector 23"/>
          <xdr:cNvSpPr/>
        </xdr:nvSpPr>
        <xdr:spPr>
          <a:xfrm>
            <a:off x="333375" y="7870029"/>
            <a:ext cx="428625" cy="428625"/>
          </a:xfrm>
          <a:prstGeom prst="flowChartConnector">
            <a:avLst/>
          </a:prstGeom>
          <a:solidFill>
            <a:srgbClr val="0066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1</a:t>
            </a:r>
            <a:r>
              <a:rPr lang="en-US" sz="1100">
                <a:solidFill>
                  <a:schemeClr val="bg1"/>
                </a:solidFill>
              </a:rPr>
              <a:t> </a:t>
            </a:r>
          </a:p>
        </xdr:txBody>
      </xdr:sp>
      <xdr:sp macro="" textlink="">
        <xdr:nvSpPr>
          <xdr:cNvPr id="25" name="Flowchart: Connector 24"/>
          <xdr:cNvSpPr/>
        </xdr:nvSpPr>
        <xdr:spPr>
          <a:xfrm>
            <a:off x="3748088" y="7881938"/>
            <a:ext cx="502443" cy="476250"/>
          </a:xfrm>
          <a:prstGeom prst="flowChartConnector">
            <a:avLst/>
          </a:prstGeom>
          <a:solidFill>
            <a:srgbClr val="0066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2 </a:t>
            </a:r>
          </a:p>
        </xdr:txBody>
      </xdr:sp>
      <xdr:sp macro="" textlink="">
        <xdr:nvSpPr>
          <xdr:cNvPr id="26" name="Flowchart: Connector 25"/>
          <xdr:cNvSpPr/>
        </xdr:nvSpPr>
        <xdr:spPr>
          <a:xfrm>
            <a:off x="7262812" y="7881937"/>
            <a:ext cx="428625" cy="428625"/>
          </a:xfrm>
          <a:prstGeom prst="flowChartConnector">
            <a:avLst/>
          </a:prstGeom>
          <a:solidFill>
            <a:srgbClr val="0066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3</a:t>
            </a:r>
          </a:p>
        </xdr:txBody>
      </xdr:sp>
    </xdr:grpSp>
    <xdr:clientData/>
  </xdr:twoCellAnchor>
  <xdr:twoCellAnchor>
    <xdr:from>
      <xdr:col>1</xdr:col>
      <xdr:colOff>214313</xdr:colOff>
      <xdr:row>37</xdr:row>
      <xdr:rowOff>11907</xdr:rowOff>
    </xdr:from>
    <xdr:to>
      <xdr:col>2</xdr:col>
      <xdr:colOff>1321593</xdr:colOff>
      <xdr:row>37</xdr:row>
      <xdr:rowOff>11908</xdr:rowOff>
    </xdr:to>
    <xdr:cxnSp macro="">
      <xdr:nvCxnSpPr>
        <xdr:cNvPr id="29" name="Straight Connector 28"/>
        <xdr:cNvCxnSpPr/>
      </xdr:nvCxnSpPr>
      <xdr:spPr>
        <a:xfrm flipV="1">
          <a:off x="821532" y="8120063"/>
          <a:ext cx="2381249" cy="1"/>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1512093</xdr:colOff>
      <xdr:row>37</xdr:row>
      <xdr:rowOff>59530</xdr:rowOff>
    </xdr:from>
    <xdr:to>
      <xdr:col>5</xdr:col>
      <xdr:colOff>261936</xdr:colOff>
      <xdr:row>37</xdr:row>
      <xdr:rowOff>59531</xdr:rowOff>
    </xdr:to>
    <xdr:cxnSp macro="">
      <xdr:nvCxnSpPr>
        <xdr:cNvPr id="32" name="Straight Connector 31"/>
        <xdr:cNvCxnSpPr/>
      </xdr:nvCxnSpPr>
      <xdr:spPr>
        <a:xfrm flipV="1">
          <a:off x="7774781" y="8167686"/>
          <a:ext cx="2345530" cy="1"/>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2500312</xdr:colOff>
      <xdr:row>37</xdr:row>
      <xdr:rowOff>23813</xdr:rowOff>
    </xdr:from>
    <xdr:to>
      <xdr:col>4</xdr:col>
      <xdr:colOff>380999</xdr:colOff>
      <xdr:row>37</xdr:row>
      <xdr:rowOff>23813</xdr:rowOff>
    </xdr:to>
    <xdr:cxnSp macro="">
      <xdr:nvCxnSpPr>
        <xdr:cNvPr id="33" name="Straight Connector 32"/>
        <xdr:cNvCxnSpPr/>
      </xdr:nvCxnSpPr>
      <xdr:spPr>
        <a:xfrm>
          <a:off x="4381500" y="8131969"/>
          <a:ext cx="2262187" cy="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261938</xdr:colOff>
      <xdr:row>38</xdr:row>
      <xdr:rowOff>35718</xdr:rowOff>
    </xdr:from>
    <xdr:to>
      <xdr:col>2</xdr:col>
      <xdr:colOff>1452562</xdr:colOff>
      <xdr:row>45</xdr:row>
      <xdr:rowOff>119061</xdr:rowOff>
    </xdr:to>
    <xdr:sp macro="" textlink="">
      <xdr:nvSpPr>
        <xdr:cNvPr id="45" name="TextBox 44"/>
        <xdr:cNvSpPr txBox="1"/>
      </xdr:nvSpPr>
      <xdr:spPr>
        <a:xfrm>
          <a:off x="261938" y="8334374"/>
          <a:ext cx="3071812" cy="1416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6664"/>
              </a:solidFill>
            </a:rPr>
            <a:t>Lahore generates the highest revenue at PKR 7.9M but records the lowest profit margin at 24.22%. A pricing audit is recommended to improve profitability without losing customers.</a:t>
          </a:r>
        </a:p>
      </xdr:txBody>
    </xdr:sp>
    <xdr:clientData/>
  </xdr:twoCellAnchor>
  <xdr:twoCellAnchor>
    <xdr:from>
      <xdr:col>2</xdr:col>
      <xdr:colOff>1750219</xdr:colOff>
      <xdr:row>38</xdr:row>
      <xdr:rowOff>71438</xdr:rowOff>
    </xdr:from>
    <xdr:to>
      <xdr:col>4</xdr:col>
      <xdr:colOff>595313</xdr:colOff>
      <xdr:row>45</xdr:row>
      <xdr:rowOff>119063</xdr:rowOff>
    </xdr:to>
    <xdr:sp macro="" textlink="">
      <xdr:nvSpPr>
        <xdr:cNvPr id="46" name="TextBox 45"/>
        <xdr:cNvSpPr txBox="1"/>
      </xdr:nvSpPr>
      <xdr:spPr>
        <a:xfrm>
          <a:off x="3631407" y="8370094"/>
          <a:ext cx="3226594" cy="1381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6664"/>
              </a:solidFill>
            </a:rPr>
            <a:t>A 5% reduction in discount rates could generate an additional PKR 2.6M in profit. However this should be tested carefully as it may impact customer retention and sales volume. Try</a:t>
          </a:r>
          <a:r>
            <a:rPr lang="en-US" sz="1400" baseline="0">
              <a:solidFill>
                <a:srgbClr val="006664"/>
              </a:solidFill>
            </a:rPr>
            <a:t> 2% reduction first.</a:t>
          </a:r>
          <a:endParaRPr lang="en-US" sz="1400">
            <a:solidFill>
              <a:srgbClr val="006664"/>
            </a:solidFill>
          </a:endParaRPr>
        </a:p>
      </xdr:txBody>
    </xdr:sp>
    <xdr:clientData/>
  </xdr:twoCellAnchor>
  <xdr:twoCellAnchor>
    <xdr:from>
      <xdr:col>4</xdr:col>
      <xdr:colOff>892968</xdr:colOff>
      <xdr:row>38</xdr:row>
      <xdr:rowOff>35720</xdr:rowOff>
    </xdr:from>
    <xdr:to>
      <xdr:col>5</xdr:col>
      <xdr:colOff>369092</xdr:colOff>
      <xdr:row>45</xdr:row>
      <xdr:rowOff>107157</xdr:rowOff>
    </xdr:to>
    <xdr:sp macro="" textlink="">
      <xdr:nvSpPr>
        <xdr:cNvPr id="47" name="TextBox 46"/>
        <xdr:cNvSpPr txBox="1"/>
      </xdr:nvSpPr>
      <xdr:spPr>
        <a:xfrm>
          <a:off x="7155656" y="8334376"/>
          <a:ext cx="3071811" cy="1404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6664"/>
              </a:solidFill>
            </a:rPr>
            <a:t>Electronics dominates with 63% of total revenue creating a high dependency on one category. Investing in Home Appliances and other categories would reduce this risk .</a:t>
          </a:r>
        </a:p>
      </xdr:txBody>
    </xdr:sp>
    <xdr:clientData/>
  </xdr:twoCellAnchor>
  <xdr:twoCellAnchor>
    <xdr:from>
      <xdr:col>1</xdr:col>
      <xdr:colOff>166687</xdr:colOff>
      <xdr:row>35</xdr:row>
      <xdr:rowOff>107156</xdr:rowOff>
    </xdr:from>
    <xdr:to>
      <xdr:col>2</xdr:col>
      <xdr:colOff>1166812</xdr:colOff>
      <xdr:row>36</xdr:row>
      <xdr:rowOff>190499</xdr:rowOff>
    </xdr:to>
    <xdr:sp macro="" textlink="">
      <xdr:nvSpPr>
        <xdr:cNvPr id="48" name="TextBox 47"/>
        <xdr:cNvSpPr txBox="1"/>
      </xdr:nvSpPr>
      <xdr:spPr>
        <a:xfrm>
          <a:off x="773906" y="7834312"/>
          <a:ext cx="2274094" cy="273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rgbClr val="006664"/>
              </a:solidFill>
            </a:rPr>
            <a:t>Review</a:t>
          </a:r>
          <a:r>
            <a:rPr lang="en-US" sz="1600" b="1" baseline="0">
              <a:solidFill>
                <a:srgbClr val="006664"/>
              </a:solidFill>
            </a:rPr>
            <a:t> Pricing Strategy :</a:t>
          </a:r>
          <a:endParaRPr lang="en-US" sz="1600" b="1">
            <a:solidFill>
              <a:srgbClr val="006664"/>
            </a:solidFill>
          </a:endParaRPr>
        </a:p>
      </xdr:txBody>
    </xdr:sp>
    <xdr:clientData/>
  </xdr:twoCellAnchor>
  <xdr:twoCellAnchor>
    <xdr:from>
      <xdr:col>2</xdr:col>
      <xdr:colOff>2416968</xdr:colOff>
      <xdr:row>35</xdr:row>
      <xdr:rowOff>119063</xdr:rowOff>
    </xdr:from>
    <xdr:to>
      <xdr:col>4</xdr:col>
      <xdr:colOff>559593</xdr:colOff>
      <xdr:row>37</xdr:row>
      <xdr:rowOff>35719</xdr:rowOff>
    </xdr:to>
    <xdr:sp macro="" textlink="">
      <xdr:nvSpPr>
        <xdr:cNvPr id="51" name="TextBox 50"/>
        <xdr:cNvSpPr txBox="1"/>
      </xdr:nvSpPr>
      <xdr:spPr>
        <a:xfrm>
          <a:off x="4298156" y="7846219"/>
          <a:ext cx="2524125"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rgbClr val="006664"/>
              </a:solidFill>
            </a:rPr>
            <a:t>Optimize Discount Policy :</a:t>
          </a:r>
        </a:p>
      </xdr:txBody>
    </xdr:sp>
    <xdr:clientData/>
  </xdr:twoCellAnchor>
  <xdr:twoCellAnchor>
    <xdr:from>
      <xdr:col>4</xdr:col>
      <xdr:colOff>1404937</xdr:colOff>
      <xdr:row>35</xdr:row>
      <xdr:rowOff>111125</xdr:rowOff>
    </xdr:from>
    <xdr:to>
      <xdr:col>5</xdr:col>
      <xdr:colOff>539749</xdr:colOff>
      <xdr:row>37</xdr:row>
      <xdr:rowOff>63499</xdr:rowOff>
    </xdr:to>
    <xdr:sp macro="" textlink="">
      <xdr:nvSpPr>
        <xdr:cNvPr id="52" name="TextBox 51"/>
        <xdr:cNvSpPr txBox="1"/>
      </xdr:nvSpPr>
      <xdr:spPr>
        <a:xfrm>
          <a:off x="7659687" y="7794625"/>
          <a:ext cx="2738437"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rgbClr val="006664"/>
              </a:solidFill>
            </a:rPr>
            <a:t>Diversify Product Categories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us" refreshedDate="46160.210915972224" createdVersion="6" refreshedVersion="6" minRefreshableVersion="3" recordCount="500">
  <cacheSource type="worksheet">
    <worksheetSource name="Table1"/>
  </cacheSource>
  <cacheFields count="22">
    <cacheField name="Order ID" numFmtId="0">
      <sharedItems/>
    </cacheField>
    <cacheField name="Date" numFmtId="164">
      <sharedItems containsSemiMixedTypes="0" containsNonDate="0" containsDate="1" containsString="0" minDate="2024-01-02T00:00:00" maxDate="2024-12-28T00:00:00"/>
    </cacheField>
    <cacheField name="Month" numFmtId="0">
      <sharedItems count="12">
        <s v="Nov"/>
        <s v="Oct"/>
        <s v="Jun"/>
        <s v="Apr"/>
        <s v="May"/>
        <s v="Mar"/>
        <s v="Feb"/>
        <s v="Dec"/>
        <s v="Sep"/>
        <s v="Jul"/>
        <s v="Jan"/>
        <s v="Aug"/>
      </sharedItems>
    </cacheField>
    <cacheField name="Quarter" numFmtId="0">
      <sharedItems count="4">
        <s v="Q4"/>
        <s v="Q2"/>
        <s v="Q1"/>
        <s v="Q3"/>
      </sharedItems>
    </cacheField>
    <cacheField name="Year" numFmtId="0">
      <sharedItems containsSemiMixedTypes="0" containsString="0" containsNumber="1" containsInteger="1" minValue="2024" maxValue="2024" count="1">
        <n v="2024"/>
      </sharedItems>
    </cacheField>
    <cacheField name="Salesperson" numFmtId="0">
      <sharedItems count="10">
        <s v="Sara Khan"/>
        <s v="Fatima Malik"/>
        <s v="Usman Raza"/>
        <s v="Nadia Iqbal"/>
        <s v="Kamran Sheikh"/>
        <s v="Hassan Mirza"/>
        <s v="Bilal Hussain"/>
        <s v="Ayesha Siddiqui"/>
        <s v="Ahmed Ali"/>
        <s v="Zara Butt"/>
      </sharedItems>
    </cacheField>
    <cacheField name="Region" numFmtId="0">
      <sharedItems count="8">
        <s v="Karachi"/>
        <s v="Faisalabad"/>
        <s v="Islamabad"/>
        <s v="Quetta"/>
        <s v="Multan"/>
        <s v="Peshawar"/>
        <s v="Rawalpindi"/>
        <s v="Lahore"/>
      </sharedItems>
    </cacheField>
    <cacheField name="Category" numFmtId="0">
      <sharedItems count="5">
        <s v="Home Appliances"/>
        <s v="Electronics"/>
        <s v="Clothing"/>
        <s v="Sports"/>
        <s v="Groceries"/>
      </sharedItems>
    </cacheField>
    <cacheField name="Product Name" numFmtId="0">
      <sharedItems count="25">
        <s v="Iron"/>
        <s v="Mobile Phone"/>
        <s v="Jacket"/>
        <s v="Jeans"/>
        <s v="Headphones"/>
        <s v="Football"/>
        <s v="Air Fryer"/>
        <s v="Microwave"/>
        <s v="Dumbbells Set"/>
        <s v="Cricket Bat"/>
        <s v="Yoga Mat"/>
        <s v="Shoes"/>
        <s v="Flour 10kg"/>
        <s v="Sugar 2kg"/>
        <s v="Cycling Gloves"/>
        <s v="Tea 500g"/>
        <s v="Laptop"/>
        <s v="Rice 5kg"/>
        <s v="Smartwatch"/>
        <s v="Vacuum Cleaner"/>
        <s v="Women's Dress"/>
        <s v="Blender"/>
        <s v="Cooking Oil 5L"/>
        <s v="Men's Shirt"/>
        <s v="Tablet"/>
      </sharedItems>
    </cacheField>
    <cacheField name="Units Sold" numFmtId="0">
      <sharedItems containsSemiMixedTypes="0" containsString="0" containsNumber="1" containsInteger="1" minValue="1" maxValue="20"/>
    </cacheField>
    <cacheField name="Unit Price (PKR)" numFmtId="0">
      <sharedItems containsSemiMixedTypes="0" containsString="0" containsNumber="1" containsInteger="1" minValue="400" maxValue="85000"/>
    </cacheField>
    <cacheField name="Discount %" numFmtId="0">
      <sharedItems containsSemiMixedTypes="0" containsString="0" containsNumber="1" containsInteger="1" minValue="0" maxValue="25"/>
    </cacheField>
    <cacheField name="Total Revenue (PKR)" numFmtId="0">
      <sharedItems containsSemiMixedTypes="0" containsString="0" containsNumber="1" containsInteger="1" minValue="800" maxValue="1372750"/>
    </cacheField>
    <cacheField name="Profit Margin%" numFmtId="10">
      <sharedItems containsSemiMixedTypes="0" containsString="0" containsNumber="1" minValue="-1.9607843137254902E-2" maxValue="0.52"/>
    </cacheField>
    <cacheField name="Cost Price (Unit)" numFmtId="0">
      <sharedItems containsSemiMixedTypes="0" containsString="0" containsNumber="1" containsInteger="1" minValue="280" maxValue="65000"/>
    </cacheField>
    <cacheField name="Total Cost (PKR)" numFmtId="0">
      <sharedItems containsSemiMixedTypes="0" containsString="0" containsNumber="1" containsInteger="1" minValue="560" maxValue="1300000"/>
    </cacheField>
    <cacheField name="Profit (PKR)" numFmtId="0">
      <sharedItems containsSemiMixedTypes="0" containsString="0" containsNumber="1" containsInteger="1" minValue="-25000" maxValue="180000"/>
    </cacheField>
    <cacheField name="Customer Type" numFmtId="0">
      <sharedItems count="2">
        <s v="New"/>
        <s v="Returning"/>
      </sharedItems>
    </cacheField>
    <cacheField name="Order Flag " numFmtId="0">
      <sharedItems/>
    </cacheField>
    <cacheField name="Payment Method" numFmtId="0">
      <sharedItems count="6">
        <s v="Bank Transfer"/>
        <s v="EasyPaisa"/>
        <s v="Credit Card"/>
        <s v="Cash"/>
        <s v="Debit Card"/>
        <s v="JazzCash"/>
      </sharedItems>
    </cacheField>
    <cacheField name="Delivery Status" numFmtId="0">
      <sharedItems count="5">
        <s v="Pending"/>
        <s v="Delivered"/>
        <s v="Returned"/>
        <s v="Shipped"/>
        <s v="Cancelled"/>
      </sharedItems>
    </cacheField>
    <cacheField name="Date2"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ORD-1001"/>
    <d v="2024-11-23T00:00:00"/>
    <x v="0"/>
    <x v="0"/>
    <x v="0"/>
    <x v="0"/>
    <x v="0"/>
    <x v="0"/>
    <x v="0"/>
    <n v="8"/>
    <n v="3500"/>
    <n v="5"/>
    <n v="26600"/>
    <n v="0.39849624060150374"/>
    <n v="2000"/>
    <n v="16000"/>
    <n v="10600"/>
    <x v="0"/>
    <s v="Standard"/>
    <x v="0"/>
    <x v="0"/>
    <s v="2024-11-23"/>
  </r>
  <r>
    <s v="ORD-1002"/>
    <d v="2024-10-06T00:00:00"/>
    <x v="1"/>
    <x v="0"/>
    <x v="0"/>
    <x v="0"/>
    <x v="1"/>
    <x v="1"/>
    <x v="1"/>
    <n v="3"/>
    <n v="25000"/>
    <n v="5"/>
    <n v="71250"/>
    <n v="0.24210526315789474"/>
    <n v="18000"/>
    <n v="54000"/>
    <n v="17250"/>
    <x v="0"/>
    <s v="High Value"/>
    <x v="1"/>
    <x v="0"/>
    <s v="2024-10-06"/>
  </r>
  <r>
    <s v="ORD-1003"/>
    <d v="2024-10-14T00:00:00"/>
    <x v="1"/>
    <x v="0"/>
    <x v="0"/>
    <x v="1"/>
    <x v="1"/>
    <x v="2"/>
    <x v="2"/>
    <n v="19"/>
    <n v="6000"/>
    <n v="10"/>
    <n v="102600"/>
    <n v="0.35185185185185186"/>
    <n v="3500"/>
    <n v="66500"/>
    <n v="36100"/>
    <x v="0"/>
    <s v="Standard"/>
    <x v="2"/>
    <x v="0"/>
    <s v="2024-10-14"/>
  </r>
  <r>
    <s v="ORD-1004"/>
    <d v="2024-06-23T00:00:00"/>
    <x v="2"/>
    <x v="1"/>
    <x v="0"/>
    <x v="2"/>
    <x v="2"/>
    <x v="2"/>
    <x v="3"/>
    <n v="4"/>
    <n v="3000"/>
    <n v="0"/>
    <n v="12000"/>
    <n v="0.5"/>
    <n v="1500"/>
    <n v="6000"/>
    <n v="6000"/>
    <x v="1"/>
    <s v="Standard"/>
    <x v="3"/>
    <x v="1"/>
    <s v="2024-06-23"/>
  </r>
  <r>
    <s v="ORD-1005"/>
    <d v="2024-06-25T00:00:00"/>
    <x v="2"/>
    <x v="1"/>
    <x v="0"/>
    <x v="3"/>
    <x v="3"/>
    <x v="1"/>
    <x v="4"/>
    <n v="18"/>
    <n v="5000"/>
    <n v="0"/>
    <n v="90000"/>
    <n v="0.4"/>
    <n v="3000"/>
    <n v="54000"/>
    <n v="36000"/>
    <x v="1"/>
    <s v="High Value"/>
    <x v="3"/>
    <x v="1"/>
    <s v="2024-06-25"/>
  </r>
  <r>
    <s v="ORD-1006"/>
    <d v="2024-11-17T00:00:00"/>
    <x v="0"/>
    <x v="0"/>
    <x v="0"/>
    <x v="3"/>
    <x v="4"/>
    <x v="3"/>
    <x v="5"/>
    <n v="3"/>
    <n v="2000"/>
    <n v="0"/>
    <n v="6000"/>
    <n v="0.4"/>
    <n v="1200"/>
    <n v="3600"/>
    <n v="2400"/>
    <x v="0"/>
    <s v="Standard"/>
    <x v="4"/>
    <x v="2"/>
    <s v="2024-11-17"/>
  </r>
  <r>
    <s v="ORD-1007"/>
    <d v="2024-04-29T00:00:00"/>
    <x v="3"/>
    <x v="1"/>
    <x v="0"/>
    <x v="0"/>
    <x v="1"/>
    <x v="0"/>
    <x v="6"/>
    <n v="12"/>
    <n v="12000"/>
    <n v="5"/>
    <n v="136800"/>
    <n v="0.2982456140350877"/>
    <n v="8000"/>
    <n v="96000"/>
    <n v="40800"/>
    <x v="1"/>
    <s v="High Value"/>
    <x v="4"/>
    <x v="1"/>
    <s v="2024-04-29"/>
  </r>
  <r>
    <s v="ORD-1008"/>
    <d v="2024-05-16T00:00:00"/>
    <x v="4"/>
    <x v="1"/>
    <x v="0"/>
    <x v="0"/>
    <x v="2"/>
    <x v="3"/>
    <x v="5"/>
    <n v="6"/>
    <n v="2000"/>
    <n v="15"/>
    <n v="10200"/>
    <n v="0.29411764705882354"/>
    <n v="1200"/>
    <n v="7200"/>
    <n v="3000"/>
    <x v="1"/>
    <s v="Standard"/>
    <x v="4"/>
    <x v="2"/>
    <s v="2024-05-16"/>
  </r>
  <r>
    <s v="ORD-1009"/>
    <d v="2024-11-23T00:00:00"/>
    <x v="0"/>
    <x v="0"/>
    <x v="0"/>
    <x v="4"/>
    <x v="5"/>
    <x v="0"/>
    <x v="7"/>
    <n v="8"/>
    <n v="18000"/>
    <n v="0"/>
    <n v="144000"/>
    <n v="0.33333333333333331"/>
    <n v="12000"/>
    <n v="96000"/>
    <n v="48000"/>
    <x v="1"/>
    <s v="High Value"/>
    <x v="5"/>
    <x v="1"/>
    <s v="2024-11-23"/>
  </r>
  <r>
    <s v="ORD-1010"/>
    <d v="2024-04-18T00:00:00"/>
    <x v="3"/>
    <x v="1"/>
    <x v="0"/>
    <x v="3"/>
    <x v="4"/>
    <x v="2"/>
    <x v="2"/>
    <n v="13"/>
    <n v="6000"/>
    <n v="25"/>
    <n v="58500"/>
    <n v="0.22222222222222221"/>
    <n v="3500"/>
    <n v="45500"/>
    <n v="13000"/>
    <x v="1"/>
    <s v="Standard"/>
    <x v="2"/>
    <x v="1"/>
    <s v="2024-04-18"/>
  </r>
  <r>
    <s v="ORD-1011"/>
    <d v="2024-05-06T00:00:00"/>
    <x v="4"/>
    <x v="1"/>
    <x v="0"/>
    <x v="4"/>
    <x v="3"/>
    <x v="3"/>
    <x v="8"/>
    <n v="19"/>
    <n v="8000"/>
    <n v="15"/>
    <n v="129200"/>
    <n v="0.26470588235294118"/>
    <n v="5000"/>
    <n v="95000"/>
    <n v="34200"/>
    <x v="1"/>
    <s v="Standard"/>
    <x v="2"/>
    <x v="2"/>
    <s v="2024-05-06"/>
  </r>
  <r>
    <s v="ORD-1012"/>
    <d v="2024-03-11T00:00:00"/>
    <x v="5"/>
    <x v="2"/>
    <x v="0"/>
    <x v="4"/>
    <x v="6"/>
    <x v="1"/>
    <x v="1"/>
    <n v="4"/>
    <n v="25000"/>
    <n v="5"/>
    <n v="95000"/>
    <n v="0.24210526315789474"/>
    <n v="18000"/>
    <n v="72000"/>
    <n v="23000"/>
    <x v="0"/>
    <s v="High Value"/>
    <x v="0"/>
    <x v="1"/>
    <s v="2024-03-11"/>
  </r>
  <r>
    <s v="ORD-1013"/>
    <d v="2024-02-02T00:00:00"/>
    <x v="6"/>
    <x v="2"/>
    <x v="0"/>
    <x v="5"/>
    <x v="1"/>
    <x v="3"/>
    <x v="8"/>
    <n v="17"/>
    <n v="8000"/>
    <n v="10"/>
    <n v="122400"/>
    <n v="0.30555555555555558"/>
    <n v="5000"/>
    <n v="85000"/>
    <n v="37400"/>
    <x v="0"/>
    <s v="Standard"/>
    <x v="0"/>
    <x v="0"/>
    <s v="2024-02-02"/>
  </r>
  <r>
    <s v="ORD-1014"/>
    <d v="2024-12-15T00:00:00"/>
    <x v="7"/>
    <x v="0"/>
    <x v="0"/>
    <x v="4"/>
    <x v="3"/>
    <x v="0"/>
    <x v="7"/>
    <n v="10"/>
    <n v="18000"/>
    <n v="15"/>
    <n v="153000"/>
    <n v="0.21568627450980393"/>
    <n v="12000"/>
    <n v="120000"/>
    <n v="33000"/>
    <x v="0"/>
    <s v="Standard"/>
    <x v="5"/>
    <x v="1"/>
    <s v="2024-12-15"/>
  </r>
  <r>
    <s v="ORD-1015"/>
    <d v="2024-05-14T00:00:00"/>
    <x v="4"/>
    <x v="1"/>
    <x v="0"/>
    <x v="4"/>
    <x v="2"/>
    <x v="3"/>
    <x v="9"/>
    <n v="10"/>
    <n v="4000"/>
    <n v="25"/>
    <n v="30000"/>
    <n v="0.16666666666666666"/>
    <n v="2500"/>
    <n v="25000"/>
    <n v="5000"/>
    <x v="0"/>
    <s v="Standard"/>
    <x v="2"/>
    <x v="1"/>
    <s v="2024-05-14"/>
  </r>
  <r>
    <s v="ORD-1016"/>
    <d v="2024-03-23T00:00:00"/>
    <x v="5"/>
    <x v="2"/>
    <x v="0"/>
    <x v="4"/>
    <x v="0"/>
    <x v="3"/>
    <x v="10"/>
    <n v="16"/>
    <n v="1500"/>
    <n v="0"/>
    <n v="24000"/>
    <n v="0.46666666666666667"/>
    <n v="800"/>
    <n v="12800"/>
    <n v="11200"/>
    <x v="0"/>
    <s v="Standard"/>
    <x v="4"/>
    <x v="3"/>
    <s v="2024-03-23"/>
  </r>
  <r>
    <s v="ORD-1017"/>
    <d v="2024-06-06T00:00:00"/>
    <x v="2"/>
    <x v="1"/>
    <x v="0"/>
    <x v="1"/>
    <x v="0"/>
    <x v="2"/>
    <x v="11"/>
    <n v="3"/>
    <n v="4500"/>
    <n v="0"/>
    <n v="13500"/>
    <n v="0.44444444444444442"/>
    <n v="2500"/>
    <n v="7500"/>
    <n v="6000"/>
    <x v="1"/>
    <s v="Standard"/>
    <x v="3"/>
    <x v="2"/>
    <s v="2024-06-06"/>
  </r>
  <r>
    <s v="ORD-1018"/>
    <d v="2024-09-29T00:00:00"/>
    <x v="8"/>
    <x v="3"/>
    <x v="0"/>
    <x v="6"/>
    <x v="2"/>
    <x v="4"/>
    <x v="12"/>
    <n v="6"/>
    <n v="1200"/>
    <n v="10"/>
    <n v="6480"/>
    <n v="0.16666666666666666"/>
    <n v="900"/>
    <n v="5400"/>
    <n v="1080"/>
    <x v="1"/>
    <s v="Standard"/>
    <x v="2"/>
    <x v="4"/>
    <s v="2024-09-29"/>
  </r>
  <r>
    <s v="ORD-1019"/>
    <d v="2024-12-19T00:00:00"/>
    <x v="7"/>
    <x v="0"/>
    <x v="0"/>
    <x v="1"/>
    <x v="3"/>
    <x v="4"/>
    <x v="13"/>
    <n v="15"/>
    <n v="400"/>
    <n v="20"/>
    <n v="4800"/>
    <n v="0.125"/>
    <n v="280"/>
    <n v="4200"/>
    <n v="600"/>
    <x v="1"/>
    <s v="Standard"/>
    <x v="3"/>
    <x v="1"/>
    <s v="2024-12-19"/>
  </r>
  <r>
    <s v="ORD-1020"/>
    <d v="2024-02-02T00:00:00"/>
    <x v="6"/>
    <x v="2"/>
    <x v="0"/>
    <x v="7"/>
    <x v="0"/>
    <x v="3"/>
    <x v="14"/>
    <n v="8"/>
    <n v="1200"/>
    <n v="20"/>
    <n v="7680"/>
    <n v="0.27083333333333331"/>
    <n v="700"/>
    <n v="5600"/>
    <n v="2080"/>
    <x v="0"/>
    <s v="Standard"/>
    <x v="3"/>
    <x v="1"/>
    <s v="2024-02-02"/>
  </r>
  <r>
    <s v="ORD-1021"/>
    <d v="2024-11-19T00:00:00"/>
    <x v="0"/>
    <x v="0"/>
    <x v="0"/>
    <x v="8"/>
    <x v="5"/>
    <x v="1"/>
    <x v="1"/>
    <n v="11"/>
    <n v="25000"/>
    <n v="0"/>
    <n v="275000"/>
    <n v="0.28000000000000003"/>
    <n v="18000"/>
    <n v="198000"/>
    <n v="77000"/>
    <x v="0"/>
    <s v="High Value"/>
    <x v="4"/>
    <x v="0"/>
    <s v="2024-11-19"/>
  </r>
  <r>
    <s v="ORD-1022"/>
    <d v="2024-04-19T00:00:00"/>
    <x v="3"/>
    <x v="1"/>
    <x v="0"/>
    <x v="4"/>
    <x v="2"/>
    <x v="3"/>
    <x v="14"/>
    <n v="16"/>
    <n v="1200"/>
    <n v="5"/>
    <n v="18240"/>
    <n v="0.38596491228070173"/>
    <n v="700"/>
    <n v="11200"/>
    <n v="7040"/>
    <x v="1"/>
    <s v="Standard"/>
    <x v="5"/>
    <x v="1"/>
    <s v="2024-04-19"/>
  </r>
  <r>
    <s v="ORD-1023"/>
    <d v="2024-02-19T00:00:00"/>
    <x v="6"/>
    <x v="2"/>
    <x v="0"/>
    <x v="5"/>
    <x v="4"/>
    <x v="4"/>
    <x v="15"/>
    <n v="15"/>
    <n v="700"/>
    <n v="25"/>
    <n v="7875"/>
    <n v="4.7619047619047616E-2"/>
    <n v="500"/>
    <n v="7500"/>
    <n v="375"/>
    <x v="0"/>
    <s v="Standard"/>
    <x v="0"/>
    <x v="0"/>
    <s v="2024-02-19"/>
  </r>
  <r>
    <s v="ORD-1024"/>
    <d v="2024-11-26T00:00:00"/>
    <x v="0"/>
    <x v="0"/>
    <x v="0"/>
    <x v="0"/>
    <x v="0"/>
    <x v="4"/>
    <x v="13"/>
    <n v="4"/>
    <n v="400"/>
    <n v="5"/>
    <n v="1520"/>
    <n v="0.26315789473684209"/>
    <n v="280"/>
    <n v="1120"/>
    <n v="400"/>
    <x v="0"/>
    <s v="Standard"/>
    <x v="2"/>
    <x v="1"/>
    <s v="2024-11-26"/>
  </r>
  <r>
    <s v="ORD-1025"/>
    <d v="2024-03-12T00:00:00"/>
    <x v="5"/>
    <x v="2"/>
    <x v="0"/>
    <x v="5"/>
    <x v="2"/>
    <x v="0"/>
    <x v="6"/>
    <n v="8"/>
    <n v="12000"/>
    <n v="0"/>
    <n v="96000"/>
    <n v="0.33333333333333331"/>
    <n v="8000"/>
    <n v="64000"/>
    <n v="32000"/>
    <x v="1"/>
    <s v="High Value"/>
    <x v="1"/>
    <x v="1"/>
    <s v="2024-03-12"/>
  </r>
  <r>
    <s v="ORD-1026"/>
    <d v="2024-11-29T00:00:00"/>
    <x v="0"/>
    <x v="0"/>
    <x v="0"/>
    <x v="4"/>
    <x v="0"/>
    <x v="1"/>
    <x v="16"/>
    <n v="6"/>
    <n v="85000"/>
    <n v="15"/>
    <n v="433500"/>
    <n v="0.10034602076124567"/>
    <n v="65000"/>
    <n v="390000"/>
    <n v="43500"/>
    <x v="1"/>
    <s v="Standard"/>
    <x v="5"/>
    <x v="1"/>
    <s v="2024-11-29"/>
  </r>
  <r>
    <s v="ORD-1027"/>
    <d v="2024-07-24T00:00:00"/>
    <x v="9"/>
    <x v="3"/>
    <x v="0"/>
    <x v="8"/>
    <x v="2"/>
    <x v="4"/>
    <x v="17"/>
    <n v="13"/>
    <n v="800"/>
    <n v="10"/>
    <n v="9360"/>
    <n v="0.16666666666666666"/>
    <n v="600"/>
    <n v="7800"/>
    <n v="1560"/>
    <x v="1"/>
    <s v="Standard"/>
    <x v="4"/>
    <x v="1"/>
    <s v="2024-07-24"/>
  </r>
  <r>
    <s v="ORD-1028"/>
    <d v="2024-10-11T00:00:00"/>
    <x v="1"/>
    <x v="0"/>
    <x v="0"/>
    <x v="9"/>
    <x v="2"/>
    <x v="2"/>
    <x v="3"/>
    <n v="7"/>
    <n v="3000"/>
    <n v="0"/>
    <n v="21000"/>
    <n v="0.5"/>
    <n v="1500"/>
    <n v="10500"/>
    <n v="10500"/>
    <x v="0"/>
    <s v="Standard"/>
    <x v="0"/>
    <x v="1"/>
    <s v="2024-10-11"/>
  </r>
  <r>
    <s v="ORD-1029"/>
    <d v="2024-01-26T00:00:00"/>
    <x v="10"/>
    <x v="2"/>
    <x v="0"/>
    <x v="3"/>
    <x v="6"/>
    <x v="3"/>
    <x v="14"/>
    <n v="6"/>
    <n v="1200"/>
    <n v="0"/>
    <n v="7200"/>
    <n v="0.41666666666666669"/>
    <n v="700"/>
    <n v="4200"/>
    <n v="3000"/>
    <x v="0"/>
    <s v="Standard"/>
    <x v="2"/>
    <x v="1"/>
    <s v="2024-01-26"/>
  </r>
  <r>
    <s v="ORD-1030"/>
    <d v="2024-02-04T00:00:00"/>
    <x v="6"/>
    <x v="2"/>
    <x v="0"/>
    <x v="1"/>
    <x v="1"/>
    <x v="1"/>
    <x v="18"/>
    <n v="8"/>
    <n v="15000"/>
    <n v="20"/>
    <n v="96000"/>
    <n v="0.16666666666666666"/>
    <n v="10000"/>
    <n v="80000"/>
    <n v="16000"/>
    <x v="0"/>
    <s v="Standard"/>
    <x v="1"/>
    <x v="1"/>
    <s v="2024-02-04"/>
  </r>
  <r>
    <s v="ORD-1031"/>
    <d v="2024-12-02T00:00:00"/>
    <x v="7"/>
    <x v="0"/>
    <x v="0"/>
    <x v="3"/>
    <x v="4"/>
    <x v="0"/>
    <x v="0"/>
    <n v="11"/>
    <n v="3500"/>
    <n v="5"/>
    <n v="36575"/>
    <n v="0.39849624060150374"/>
    <n v="2000"/>
    <n v="22000"/>
    <n v="14575"/>
    <x v="1"/>
    <s v="Standard"/>
    <x v="5"/>
    <x v="1"/>
    <s v="2024-12-02"/>
  </r>
  <r>
    <s v="ORD-1032"/>
    <d v="2024-11-26T00:00:00"/>
    <x v="0"/>
    <x v="0"/>
    <x v="0"/>
    <x v="2"/>
    <x v="6"/>
    <x v="0"/>
    <x v="7"/>
    <n v="1"/>
    <n v="18000"/>
    <n v="15"/>
    <n v="15300"/>
    <n v="0.21568627450980393"/>
    <n v="12000"/>
    <n v="12000"/>
    <n v="3300"/>
    <x v="0"/>
    <s v="Standard"/>
    <x v="3"/>
    <x v="1"/>
    <s v="2024-11-26"/>
  </r>
  <r>
    <s v="ORD-1033"/>
    <d v="2024-09-16T00:00:00"/>
    <x v="8"/>
    <x v="3"/>
    <x v="0"/>
    <x v="2"/>
    <x v="2"/>
    <x v="0"/>
    <x v="7"/>
    <n v="8"/>
    <n v="18000"/>
    <n v="10"/>
    <n v="129600"/>
    <n v="0.25925925925925924"/>
    <n v="12000"/>
    <n v="96000"/>
    <n v="33600"/>
    <x v="1"/>
    <s v="Standard"/>
    <x v="2"/>
    <x v="1"/>
    <s v="2024-09-16"/>
  </r>
  <r>
    <s v="ORD-1034"/>
    <d v="2024-10-05T00:00:00"/>
    <x v="1"/>
    <x v="0"/>
    <x v="0"/>
    <x v="2"/>
    <x v="0"/>
    <x v="3"/>
    <x v="10"/>
    <n v="4"/>
    <n v="1500"/>
    <n v="5"/>
    <n v="5700"/>
    <n v="0.43859649122807015"/>
    <n v="800"/>
    <n v="3200"/>
    <n v="2500"/>
    <x v="1"/>
    <s v="Standard"/>
    <x v="3"/>
    <x v="3"/>
    <s v="2024-10-05"/>
  </r>
  <r>
    <s v="ORD-1035"/>
    <d v="2024-10-10T00:00:00"/>
    <x v="1"/>
    <x v="0"/>
    <x v="0"/>
    <x v="6"/>
    <x v="3"/>
    <x v="0"/>
    <x v="19"/>
    <n v="7"/>
    <n v="15000"/>
    <n v="25"/>
    <n v="78750"/>
    <n v="0.1111111111111111"/>
    <n v="10000"/>
    <n v="70000"/>
    <n v="8750"/>
    <x v="1"/>
    <s v="Standard"/>
    <x v="2"/>
    <x v="0"/>
    <s v="2024-10-10"/>
  </r>
  <r>
    <s v="ORD-1036"/>
    <d v="2024-05-15T00:00:00"/>
    <x v="4"/>
    <x v="1"/>
    <x v="0"/>
    <x v="4"/>
    <x v="6"/>
    <x v="0"/>
    <x v="7"/>
    <n v="3"/>
    <n v="18000"/>
    <n v="25"/>
    <n v="40500"/>
    <n v="0.1111111111111111"/>
    <n v="12000"/>
    <n v="36000"/>
    <n v="4500"/>
    <x v="1"/>
    <s v="Standard"/>
    <x v="4"/>
    <x v="1"/>
    <s v="2024-05-15"/>
  </r>
  <r>
    <s v="ORD-1037"/>
    <d v="2024-06-19T00:00:00"/>
    <x v="2"/>
    <x v="1"/>
    <x v="0"/>
    <x v="6"/>
    <x v="3"/>
    <x v="2"/>
    <x v="2"/>
    <n v="18"/>
    <n v="6000"/>
    <n v="25"/>
    <n v="81000"/>
    <n v="0.22222222222222221"/>
    <n v="3500"/>
    <n v="63000"/>
    <n v="18000"/>
    <x v="1"/>
    <s v="Standard"/>
    <x v="1"/>
    <x v="1"/>
    <s v="2024-06-19"/>
  </r>
  <r>
    <s v="ORD-1038"/>
    <d v="2024-02-08T00:00:00"/>
    <x v="6"/>
    <x v="2"/>
    <x v="0"/>
    <x v="6"/>
    <x v="0"/>
    <x v="0"/>
    <x v="19"/>
    <n v="18"/>
    <n v="15000"/>
    <n v="5"/>
    <n v="256500"/>
    <n v="0.2982456140350877"/>
    <n v="10000"/>
    <n v="180000"/>
    <n v="76500"/>
    <x v="1"/>
    <s v="High Value"/>
    <x v="2"/>
    <x v="1"/>
    <s v="2024-02-08"/>
  </r>
  <r>
    <s v="ORD-1039"/>
    <d v="2024-07-05T00:00:00"/>
    <x v="9"/>
    <x v="3"/>
    <x v="0"/>
    <x v="8"/>
    <x v="4"/>
    <x v="2"/>
    <x v="20"/>
    <n v="4"/>
    <n v="3500"/>
    <n v="10"/>
    <n v="12600"/>
    <n v="0.42857142857142855"/>
    <n v="1800"/>
    <n v="7200"/>
    <n v="5400"/>
    <x v="1"/>
    <s v="Standard"/>
    <x v="1"/>
    <x v="0"/>
    <s v="2024-07-05"/>
  </r>
  <r>
    <s v="ORD-1040"/>
    <d v="2024-05-01T00:00:00"/>
    <x v="4"/>
    <x v="1"/>
    <x v="0"/>
    <x v="6"/>
    <x v="2"/>
    <x v="4"/>
    <x v="17"/>
    <n v="6"/>
    <n v="800"/>
    <n v="25"/>
    <n v="3600"/>
    <n v="0"/>
    <n v="600"/>
    <n v="3600"/>
    <n v="0"/>
    <x v="1"/>
    <s v="Standard"/>
    <x v="5"/>
    <x v="3"/>
    <s v="2024-05-01"/>
  </r>
  <r>
    <s v="ORD-1041"/>
    <d v="2024-05-07T00:00:00"/>
    <x v="4"/>
    <x v="1"/>
    <x v="0"/>
    <x v="2"/>
    <x v="2"/>
    <x v="1"/>
    <x v="4"/>
    <n v="2"/>
    <n v="5000"/>
    <n v="15"/>
    <n v="8500"/>
    <n v="0.29411764705882354"/>
    <n v="3000"/>
    <n v="6000"/>
    <n v="2500"/>
    <x v="0"/>
    <s v="Standard"/>
    <x v="2"/>
    <x v="3"/>
    <s v="2024-05-07"/>
  </r>
  <r>
    <s v="ORD-1042"/>
    <d v="2024-08-23T00:00:00"/>
    <x v="11"/>
    <x v="3"/>
    <x v="0"/>
    <x v="7"/>
    <x v="3"/>
    <x v="2"/>
    <x v="20"/>
    <n v="1"/>
    <n v="3500"/>
    <n v="25"/>
    <n v="2625"/>
    <n v="0.31428571428571428"/>
    <n v="1800"/>
    <n v="1800"/>
    <n v="825"/>
    <x v="0"/>
    <s v="Standard"/>
    <x v="5"/>
    <x v="1"/>
    <s v="2024-08-23"/>
  </r>
  <r>
    <s v="ORD-1043"/>
    <d v="2024-02-05T00:00:00"/>
    <x v="6"/>
    <x v="2"/>
    <x v="0"/>
    <x v="2"/>
    <x v="4"/>
    <x v="3"/>
    <x v="8"/>
    <n v="18"/>
    <n v="8000"/>
    <n v="10"/>
    <n v="129600"/>
    <n v="0.30555555555555558"/>
    <n v="5000"/>
    <n v="90000"/>
    <n v="39600"/>
    <x v="0"/>
    <s v="Standard"/>
    <x v="3"/>
    <x v="3"/>
    <s v="2024-02-05"/>
  </r>
  <r>
    <s v="ORD-1044"/>
    <d v="2024-05-13T00:00:00"/>
    <x v="4"/>
    <x v="1"/>
    <x v="0"/>
    <x v="6"/>
    <x v="3"/>
    <x v="1"/>
    <x v="1"/>
    <n v="20"/>
    <n v="25000"/>
    <n v="15"/>
    <n v="425000"/>
    <n v="0.15294117647058825"/>
    <n v="18000"/>
    <n v="360000"/>
    <n v="65000"/>
    <x v="1"/>
    <s v="Standard"/>
    <x v="0"/>
    <x v="3"/>
    <s v="2024-05-13"/>
  </r>
  <r>
    <s v="ORD-1045"/>
    <d v="2024-08-11T00:00:00"/>
    <x v="11"/>
    <x v="3"/>
    <x v="0"/>
    <x v="3"/>
    <x v="7"/>
    <x v="4"/>
    <x v="12"/>
    <n v="7"/>
    <n v="1200"/>
    <n v="10"/>
    <n v="7560"/>
    <n v="0.16666666666666666"/>
    <n v="900"/>
    <n v="6300"/>
    <n v="1260"/>
    <x v="0"/>
    <s v="Standard"/>
    <x v="0"/>
    <x v="1"/>
    <s v="2024-08-11"/>
  </r>
  <r>
    <s v="ORD-1046"/>
    <d v="2024-09-23T00:00:00"/>
    <x v="8"/>
    <x v="3"/>
    <x v="0"/>
    <x v="4"/>
    <x v="5"/>
    <x v="0"/>
    <x v="6"/>
    <n v="3"/>
    <n v="12000"/>
    <n v="25"/>
    <n v="27000"/>
    <n v="0.1111111111111111"/>
    <n v="8000"/>
    <n v="24000"/>
    <n v="3000"/>
    <x v="1"/>
    <s v="Standard"/>
    <x v="1"/>
    <x v="1"/>
    <s v="2024-09-23"/>
  </r>
  <r>
    <s v="ORD-1047"/>
    <d v="2024-03-04T00:00:00"/>
    <x v="5"/>
    <x v="2"/>
    <x v="0"/>
    <x v="2"/>
    <x v="3"/>
    <x v="4"/>
    <x v="13"/>
    <n v="13"/>
    <n v="400"/>
    <n v="25"/>
    <n v="3900"/>
    <n v="6.6666666666666666E-2"/>
    <n v="280"/>
    <n v="3640"/>
    <n v="260"/>
    <x v="1"/>
    <s v="Standard"/>
    <x v="1"/>
    <x v="1"/>
    <s v="2024-03-04"/>
  </r>
  <r>
    <s v="ORD-1048"/>
    <d v="2024-08-03T00:00:00"/>
    <x v="11"/>
    <x v="3"/>
    <x v="0"/>
    <x v="5"/>
    <x v="2"/>
    <x v="3"/>
    <x v="14"/>
    <n v="10"/>
    <n v="1200"/>
    <n v="15"/>
    <n v="10200"/>
    <n v="0.31372549019607843"/>
    <n v="700"/>
    <n v="7000"/>
    <n v="3200"/>
    <x v="0"/>
    <s v="Standard"/>
    <x v="4"/>
    <x v="1"/>
    <s v="2024-08-03"/>
  </r>
  <r>
    <s v="ORD-1049"/>
    <d v="2024-08-08T00:00:00"/>
    <x v="11"/>
    <x v="3"/>
    <x v="0"/>
    <x v="3"/>
    <x v="4"/>
    <x v="4"/>
    <x v="15"/>
    <n v="15"/>
    <n v="700"/>
    <n v="25"/>
    <n v="7875"/>
    <n v="4.7619047619047616E-2"/>
    <n v="500"/>
    <n v="7500"/>
    <n v="375"/>
    <x v="0"/>
    <s v="Standard"/>
    <x v="1"/>
    <x v="1"/>
    <s v="2024-08-08"/>
  </r>
  <r>
    <s v="ORD-1050"/>
    <d v="2024-03-27T00:00:00"/>
    <x v="5"/>
    <x v="2"/>
    <x v="0"/>
    <x v="0"/>
    <x v="3"/>
    <x v="3"/>
    <x v="14"/>
    <n v="11"/>
    <n v="1200"/>
    <n v="0"/>
    <n v="13200"/>
    <n v="0.41666666666666669"/>
    <n v="700"/>
    <n v="7700"/>
    <n v="5500"/>
    <x v="0"/>
    <s v="Standard"/>
    <x v="0"/>
    <x v="1"/>
    <s v="2024-03-27"/>
  </r>
  <r>
    <s v="ORD-1051"/>
    <d v="2024-04-11T00:00:00"/>
    <x v="3"/>
    <x v="1"/>
    <x v="0"/>
    <x v="6"/>
    <x v="0"/>
    <x v="1"/>
    <x v="16"/>
    <n v="16"/>
    <n v="85000"/>
    <n v="20"/>
    <n v="1088000"/>
    <n v="4.4117647058823532E-2"/>
    <n v="65000"/>
    <n v="1040000"/>
    <n v="48000"/>
    <x v="0"/>
    <s v="Standard"/>
    <x v="5"/>
    <x v="1"/>
    <s v="2024-04-11"/>
  </r>
  <r>
    <s v="ORD-1052"/>
    <d v="2024-11-18T00:00:00"/>
    <x v="0"/>
    <x v="0"/>
    <x v="0"/>
    <x v="3"/>
    <x v="5"/>
    <x v="4"/>
    <x v="15"/>
    <n v="13"/>
    <n v="700"/>
    <n v="5"/>
    <n v="8645"/>
    <n v="0.24812030075187969"/>
    <n v="500"/>
    <n v="6500"/>
    <n v="2145"/>
    <x v="0"/>
    <s v="Standard"/>
    <x v="0"/>
    <x v="0"/>
    <s v="2024-11-18"/>
  </r>
  <r>
    <s v="ORD-1053"/>
    <d v="2024-02-24T00:00:00"/>
    <x v="6"/>
    <x v="2"/>
    <x v="0"/>
    <x v="5"/>
    <x v="5"/>
    <x v="2"/>
    <x v="11"/>
    <n v="15"/>
    <n v="4500"/>
    <n v="0"/>
    <n v="67500"/>
    <n v="0.44444444444444442"/>
    <n v="2500"/>
    <n v="37500"/>
    <n v="30000"/>
    <x v="0"/>
    <s v="High Value"/>
    <x v="3"/>
    <x v="1"/>
    <s v="2024-02-24"/>
  </r>
  <r>
    <s v="ORD-1054"/>
    <d v="2024-08-25T00:00:00"/>
    <x v="11"/>
    <x v="3"/>
    <x v="0"/>
    <x v="4"/>
    <x v="4"/>
    <x v="4"/>
    <x v="12"/>
    <n v="17"/>
    <n v="1200"/>
    <n v="15"/>
    <n v="17340"/>
    <n v="0.11764705882352941"/>
    <n v="900"/>
    <n v="15300"/>
    <n v="2040"/>
    <x v="1"/>
    <s v="Standard"/>
    <x v="2"/>
    <x v="0"/>
    <s v="2024-08-25"/>
  </r>
  <r>
    <s v="ORD-1055"/>
    <d v="2024-08-31T00:00:00"/>
    <x v="11"/>
    <x v="3"/>
    <x v="0"/>
    <x v="9"/>
    <x v="3"/>
    <x v="2"/>
    <x v="3"/>
    <n v="17"/>
    <n v="3000"/>
    <n v="15"/>
    <n v="43350"/>
    <n v="0.41176470588235292"/>
    <n v="1500"/>
    <n v="25500"/>
    <n v="17850"/>
    <x v="0"/>
    <s v="Standard"/>
    <x v="4"/>
    <x v="1"/>
    <s v="2024-08-31"/>
  </r>
  <r>
    <s v="ORD-1056"/>
    <d v="2024-05-26T00:00:00"/>
    <x v="4"/>
    <x v="1"/>
    <x v="0"/>
    <x v="1"/>
    <x v="3"/>
    <x v="0"/>
    <x v="21"/>
    <n v="18"/>
    <n v="5000"/>
    <n v="0"/>
    <n v="90000"/>
    <n v="0.4"/>
    <n v="3000"/>
    <n v="54000"/>
    <n v="36000"/>
    <x v="0"/>
    <s v="High Value"/>
    <x v="2"/>
    <x v="1"/>
    <s v="2024-05-26"/>
  </r>
  <r>
    <s v="ORD-1057"/>
    <d v="2024-12-21T00:00:00"/>
    <x v="7"/>
    <x v="0"/>
    <x v="0"/>
    <x v="6"/>
    <x v="5"/>
    <x v="1"/>
    <x v="4"/>
    <n v="14"/>
    <n v="5000"/>
    <n v="10"/>
    <n v="63000"/>
    <n v="0.33333333333333331"/>
    <n v="3000"/>
    <n v="42000"/>
    <n v="21000"/>
    <x v="1"/>
    <s v="Standard"/>
    <x v="5"/>
    <x v="1"/>
    <s v="2024-12-21"/>
  </r>
  <r>
    <s v="ORD-1058"/>
    <d v="2024-08-03T00:00:00"/>
    <x v="11"/>
    <x v="3"/>
    <x v="0"/>
    <x v="5"/>
    <x v="0"/>
    <x v="3"/>
    <x v="8"/>
    <n v="16"/>
    <n v="8000"/>
    <n v="0"/>
    <n v="128000"/>
    <n v="0.375"/>
    <n v="5000"/>
    <n v="80000"/>
    <n v="48000"/>
    <x v="1"/>
    <s v="High Value"/>
    <x v="4"/>
    <x v="3"/>
    <s v="2024-08-03"/>
  </r>
  <r>
    <s v="ORD-1059"/>
    <d v="2024-08-02T00:00:00"/>
    <x v="11"/>
    <x v="3"/>
    <x v="0"/>
    <x v="4"/>
    <x v="5"/>
    <x v="4"/>
    <x v="22"/>
    <n v="9"/>
    <n v="1500"/>
    <n v="15"/>
    <n v="11475"/>
    <n v="0.13725490196078433"/>
    <n v="1100"/>
    <n v="9900"/>
    <n v="1575"/>
    <x v="1"/>
    <s v="Standard"/>
    <x v="3"/>
    <x v="1"/>
    <s v="2024-08-02"/>
  </r>
  <r>
    <s v="ORD-1060"/>
    <d v="2024-12-08T00:00:00"/>
    <x v="7"/>
    <x v="0"/>
    <x v="0"/>
    <x v="5"/>
    <x v="2"/>
    <x v="4"/>
    <x v="22"/>
    <n v="20"/>
    <n v="1500"/>
    <n v="20"/>
    <n v="24000"/>
    <n v="8.3333333333333329E-2"/>
    <n v="1100"/>
    <n v="22000"/>
    <n v="2000"/>
    <x v="0"/>
    <s v="Standard"/>
    <x v="5"/>
    <x v="1"/>
    <s v="2024-12-08"/>
  </r>
  <r>
    <s v="ORD-1061"/>
    <d v="2024-12-05T00:00:00"/>
    <x v="7"/>
    <x v="0"/>
    <x v="0"/>
    <x v="8"/>
    <x v="7"/>
    <x v="4"/>
    <x v="22"/>
    <n v="15"/>
    <n v="1500"/>
    <n v="5"/>
    <n v="21375"/>
    <n v="0.22807017543859648"/>
    <n v="1100"/>
    <n v="16500"/>
    <n v="4875"/>
    <x v="0"/>
    <s v="Standard"/>
    <x v="4"/>
    <x v="1"/>
    <s v="2024-12-05"/>
  </r>
  <r>
    <s v="ORD-1062"/>
    <d v="2024-04-18T00:00:00"/>
    <x v="3"/>
    <x v="1"/>
    <x v="0"/>
    <x v="9"/>
    <x v="4"/>
    <x v="0"/>
    <x v="6"/>
    <n v="9"/>
    <n v="12000"/>
    <n v="15"/>
    <n v="91800"/>
    <n v="0.21568627450980393"/>
    <n v="8000"/>
    <n v="72000"/>
    <n v="19800"/>
    <x v="1"/>
    <s v="Standard"/>
    <x v="3"/>
    <x v="1"/>
    <s v="2024-04-18"/>
  </r>
  <r>
    <s v="ORD-1063"/>
    <d v="2024-10-03T00:00:00"/>
    <x v="1"/>
    <x v="0"/>
    <x v="0"/>
    <x v="8"/>
    <x v="4"/>
    <x v="2"/>
    <x v="23"/>
    <n v="2"/>
    <n v="2500"/>
    <n v="0"/>
    <n v="5000"/>
    <n v="0.52"/>
    <n v="1200"/>
    <n v="2400"/>
    <n v="2600"/>
    <x v="0"/>
    <s v="Standard"/>
    <x v="2"/>
    <x v="3"/>
    <s v="2024-10-03"/>
  </r>
  <r>
    <s v="ORD-1064"/>
    <d v="2024-11-14T00:00:00"/>
    <x v="0"/>
    <x v="0"/>
    <x v="0"/>
    <x v="6"/>
    <x v="5"/>
    <x v="2"/>
    <x v="2"/>
    <n v="4"/>
    <n v="6000"/>
    <n v="20"/>
    <n v="19200"/>
    <n v="0.27083333333333331"/>
    <n v="3500"/>
    <n v="14000"/>
    <n v="5200"/>
    <x v="0"/>
    <s v="Standard"/>
    <x v="5"/>
    <x v="0"/>
    <s v="2024-11-14"/>
  </r>
  <r>
    <s v="ORD-1065"/>
    <d v="2024-07-07T00:00:00"/>
    <x v="9"/>
    <x v="3"/>
    <x v="0"/>
    <x v="6"/>
    <x v="7"/>
    <x v="2"/>
    <x v="3"/>
    <n v="4"/>
    <n v="3000"/>
    <n v="20"/>
    <n v="9600"/>
    <n v="0.375"/>
    <n v="1500"/>
    <n v="6000"/>
    <n v="3600"/>
    <x v="0"/>
    <s v="Standard"/>
    <x v="4"/>
    <x v="1"/>
    <s v="2024-07-07"/>
  </r>
  <r>
    <s v="ORD-1066"/>
    <d v="2024-07-11T00:00:00"/>
    <x v="9"/>
    <x v="3"/>
    <x v="0"/>
    <x v="5"/>
    <x v="5"/>
    <x v="1"/>
    <x v="18"/>
    <n v="8"/>
    <n v="15000"/>
    <n v="0"/>
    <n v="120000"/>
    <n v="0.33333333333333331"/>
    <n v="10000"/>
    <n v="80000"/>
    <n v="40000"/>
    <x v="1"/>
    <s v="High Value"/>
    <x v="0"/>
    <x v="0"/>
    <s v="2024-07-11"/>
  </r>
  <r>
    <s v="ORD-1067"/>
    <d v="2024-03-02T00:00:00"/>
    <x v="5"/>
    <x v="2"/>
    <x v="0"/>
    <x v="3"/>
    <x v="0"/>
    <x v="0"/>
    <x v="19"/>
    <n v="14"/>
    <n v="15000"/>
    <n v="25"/>
    <n v="157500"/>
    <n v="0.1111111111111111"/>
    <n v="10000"/>
    <n v="140000"/>
    <n v="17500"/>
    <x v="1"/>
    <s v="Standard"/>
    <x v="3"/>
    <x v="1"/>
    <s v="2024-03-02"/>
  </r>
  <r>
    <s v="ORD-1068"/>
    <d v="2024-06-23T00:00:00"/>
    <x v="2"/>
    <x v="1"/>
    <x v="0"/>
    <x v="8"/>
    <x v="1"/>
    <x v="4"/>
    <x v="17"/>
    <n v="14"/>
    <n v="800"/>
    <n v="10"/>
    <n v="10080"/>
    <n v="0.16666666666666666"/>
    <n v="600"/>
    <n v="8400"/>
    <n v="1680"/>
    <x v="1"/>
    <s v="Standard"/>
    <x v="0"/>
    <x v="1"/>
    <s v="2024-06-23"/>
  </r>
  <r>
    <s v="ORD-1069"/>
    <d v="2024-03-31T00:00:00"/>
    <x v="5"/>
    <x v="2"/>
    <x v="0"/>
    <x v="4"/>
    <x v="3"/>
    <x v="3"/>
    <x v="14"/>
    <n v="16"/>
    <n v="1200"/>
    <n v="15"/>
    <n v="16320"/>
    <n v="0.31372549019607843"/>
    <n v="700"/>
    <n v="11200"/>
    <n v="5120"/>
    <x v="1"/>
    <s v="Standard"/>
    <x v="0"/>
    <x v="1"/>
    <s v="2024-03-31"/>
  </r>
  <r>
    <s v="ORD-1070"/>
    <d v="2024-06-14T00:00:00"/>
    <x v="2"/>
    <x v="1"/>
    <x v="0"/>
    <x v="1"/>
    <x v="7"/>
    <x v="0"/>
    <x v="6"/>
    <n v="8"/>
    <n v="12000"/>
    <n v="15"/>
    <n v="81600"/>
    <n v="0.21568627450980393"/>
    <n v="8000"/>
    <n v="64000"/>
    <n v="17600"/>
    <x v="1"/>
    <s v="Standard"/>
    <x v="4"/>
    <x v="1"/>
    <s v="2024-06-14"/>
  </r>
  <r>
    <s v="ORD-1071"/>
    <d v="2024-06-15T00:00:00"/>
    <x v="2"/>
    <x v="1"/>
    <x v="0"/>
    <x v="6"/>
    <x v="6"/>
    <x v="2"/>
    <x v="3"/>
    <n v="9"/>
    <n v="3000"/>
    <n v="10"/>
    <n v="24300"/>
    <n v="0.44444444444444442"/>
    <n v="1500"/>
    <n v="13500"/>
    <n v="10800"/>
    <x v="1"/>
    <s v="Standard"/>
    <x v="1"/>
    <x v="0"/>
    <s v="2024-06-15"/>
  </r>
  <r>
    <s v="ORD-1072"/>
    <d v="2024-05-21T00:00:00"/>
    <x v="4"/>
    <x v="1"/>
    <x v="0"/>
    <x v="4"/>
    <x v="0"/>
    <x v="3"/>
    <x v="5"/>
    <n v="3"/>
    <n v="2000"/>
    <n v="5"/>
    <n v="5700"/>
    <n v="0.36842105263157893"/>
    <n v="1200"/>
    <n v="3600"/>
    <n v="2100"/>
    <x v="1"/>
    <s v="Standard"/>
    <x v="5"/>
    <x v="1"/>
    <s v="2024-05-21"/>
  </r>
  <r>
    <s v="ORD-1073"/>
    <d v="2024-05-03T00:00:00"/>
    <x v="4"/>
    <x v="1"/>
    <x v="0"/>
    <x v="9"/>
    <x v="6"/>
    <x v="4"/>
    <x v="17"/>
    <n v="3"/>
    <n v="800"/>
    <n v="10"/>
    <n v="2160"/>
    <n v="0.16666666666666666"/>
    <n v="600"/>
    <n v="1800"/>
    <n v="360"/>
    <x v="0"/>
    <s v="Standard"/>
    <x v="5"/>
    <x v="0"/>
    <s v="2024-05-03"/>
  </r>
  <r>
    <s v="ORD-1074"/>
    <d v="2024-06-05T00:00:00"/>
    <x v="2"/>
    <x v="1"/>
    <x v="0"/>
    <x v="3"/>
    <x v="4"/>
    <x v="4"/>
    <x v="12"/>
    <n v="17"/>
    <n v="1200"/>
    <n v="10"/>
    <n v="18360"/>
    <n v="0.16666666666666666"/>
    <n v="900"/>
    <n v="15300"/>
    <n v="3060"/>
    <x v="1"/>
    <s v="Standard"/>
    <x v="0"/>
    <x v="1"/>
    <s v="2024-06-05"/>
  </r>
  <r>
    <s v="ORD-1075"/>
    <d v="2024-06-29T00:00:00"/>
    <x v="2"/>
    <x v="1"/>
    <x v="0"/>
    <x v="9"/>
    <x v="3"/>
    <x v="0"/>
    <x v="21"/>
    <n v="8"/>
    <n v="5000"/>
    <n v="0"/>
    <n v="40000"/>
    <n v="0.4"/>
    <n v="3000"/>
    <n v="24000"/>
    <n v="16000"/>
    <x v="0"/>
    <s v="Standard"/>
    <x v="4"/>
    <x v="1"/>
    <s v="2024-06-29"/>
  </r>
  <r>
    <s v="ORD-1076"/>
    <d v="2024-10-01T00:00:00"/>
    <x v="1"/>
    <x v="0"/>
    <x v="0"/>
    <x v="6"/>
    <x v="5"/>
    <x v="2"/>
    <x v="2"/>
    <n v="9"/>
    <n v="6000"/>
    <n v="25"/>
    <n v="40500"/>
    <n v="0.22222222222222221"/>
    <n v="3500"/>
    <n v="31500"/>
    <n v="9000"/>
    <x v="1"/>
    <s v="Standard"/>
    <x v="3"/>
    <x v="3"/>
    <s v="2024-10-01"/>
  </r>
  <r>
    <s v="ORD-1077"/>
    <d v="2024-05-31T00:00:00"/>
    <x v="4"/>
    <x v="1"/>
    <x v="0"/>
    <x v="1"/>
    <x v="4"/>
    <x v="2"/>
    <x v="3"/>
    <n v="1"/>
    <n v="3000"/>
    <n v="25"/>
    <n v="2250"/>
    <n v="0.33333333333333331"/>
    <n v="1500"/>
    <n v="1500"/>
    <n v="750"/>
    <x v="0"/>
    <s v="Standard"/>
    <x v="4"/>
    <x v="1"/>
    <s v="2024-05-31"/>
  </r>
  <r>
    <s v="ORD-1078"/>
    <d v="2024-01-28T00:00:00"/>
    <x v="10"/>
    <x v="2"/>
    <x v="0"/>
    <x v="4"/>
    <x v="3"/>
    <x v="2"/>
    <x v="2"/>
    <n v="4"/>
    <n v="6000"/>
    <n v="0"/>
    <n v="24000"/>
    <n v="0.41666666666666669"/>
    <n v="3500"/>
    <n v="14000"/>
    <n v="10000"/>
    <x v="1"/>
    <s v="Standard"/>
    <x v="5"/>
    <x v="1"/>
    <s v="2024-01-28"/>
  </r>
  <r>
    <s v="ORD-1079"/>
    <d v="2024-06-23T00:00:00"/>
    <x v="2"/>
    <x v="1"/>
    <x v="0"/>
    <x v="6"/>
    <x v="0"/>
    <x v="0"/>
    <x v="6"/>
    <n v="4"/>
    <n v="12000"/>
    <n v="0"/>
    <n v="48000"/>
    <n v="0.33333333333333331"/>
    <n v="8000"/>
    <n v="32000"/>
    <n v="16000"/>
    <x v="1"/>
    <s v="Standard"/>
    <x v="5"/>
    <x v="1"/>
    <s v="2024-06-23"/>
  </r>
  <r>
    <s v="ORD-1080"/>
    <d v="2024-11-18T00:00:00"/>
    <x v="0"/>
    <x v="0"/>
    <x v="0"/>
    <x v="8"/>
    <x v="2"/>
    <x v="2"/>
    <x v="11"/>
    <n v="10"/>
    <n v="4500"/>
    <n v="0"/>
    <n v="45000"/>
    <n v="0.44444444444444442"/>
    <n v="2500"/>
    <n v="25000"/>
    <n v="20000"/>
    <x v="0"/>
    <s v="Standard"/>
    <x v="3"/>
    <x v="1"/>
    <s v="2024-11-18"/>
  </r>
  <r>
    <s v="ORD-1081"/>
    <d v="2024-08-01T00:00:00"/>
    <x v="11"/>
    <x v="3"/>
    <x v="0"/>
    <x v="3"/>
    <x v="5"/>
    <x v="3"/>
    <x v="8"/>
    <n v="15"/>
    <n v="8000"/>
    <n v="15"/>
    <n v="102000"/>
    <n v="0.26470588235294118"/>
    <n v="5000"/>
    <n v="75000"/>
    <n v="27000"/>
    <x v="1"/>
    <s v="Standard"/>
    <x v="1"/>
    <x v="2"/>
    <s v="2024-08-01"/>
  </r>
  <r>
    <s v="ORD-1082"/>
    <d v="2024-06-05T00:00:00"/>
    <x v="2"/>
    <x v="1"/>
    <x v="0"/>
    <x v="3"/>
    <x v="0"/>
    <x v="3"/>
    <x v="9"/>
    <n v="7"/>
    <n v="4000"/>
    <n v="25"/>
    <n v="21000"/>
    <n v="0.16666666666666666"/>
    <n v="2500"/>
    <n v="17500"/>
    <n v="3500"/>
    <x v="0"/>
    <s v="Standard"/>
    <x v="4"/>
    <x v="0"/>
    <s v="2024-06-05"/>
  </r>
  <r>
    <s v="ORD-1083"/>
    <d v="2024-03-21T00:00:00"/>
    <x v="5"/>
    <x v="2"/>
    <x v="0"/>
    <x v="1"/>
    <x v="2"/>
    <x v="3"/>
    <x v="9"/>
    <n v="6"/>
    <n v="4000"/>
    <n v="0"/>
    <n v="24000"/>
    <n v="0.375"/>
    <n v="2500"/>
    <n v="15000"/>
    <n v="9000"/>
    <x v="1"/>
    <s v="Standard"/>
    <x v="5"/>
    <x v="0"/>
    <s v="2024-03-21"/>
  </r>
  <r>
    <s v="ORD-1084"/>
    <d v="2024-08-28T00:00:00"/>
    <x v="11"/>
    <x v="3"/>
    <x v="0"/>
    <x v="2"/>
    <x v="0"/>
    <x v="2"/>
    <x v="3"/>
    <n v="10"/>
    <n v="3000"/>
    <n v="25"/>
    <n v="22500"/>
    <n v="0.33333333333333331"/>
    <n v="1500"/>
    <n v="15000"/>
    <n v="7500"/>
    <x v="1"/>
    <s v="Standard"/>
    <x v="3"/>
    <x v="0"/>
    <s v="2024-08-28"/>
  </r>
  <r>
    <s v="ORD-1085"/>
    <d v="2024-05-15T00:00:00"/>
    <x v="4"/>
    <x v="1"/>
    <x v="0"/>
    <x v="3"/>
    <x v="5"/>
    <x v="4"/>
    <x v="17"/>
    <n v="18"/>
    <n v="800"/>
    <n v="5"/>
    <n v="13680"/>
    <n v="0.21052631578947367"/>
    <n v="600"/>
    <n v="10800"/>
    <n v="2880"/>
    <x v="0"/>
    <s v="Standard"/>
    <x v="4"/>
    <x v="3"/>
    <s v="2024-05-15"/>
  </r>
  <r>
    <s v="ORD-1086"/>
    <d v="2024-02-06T00:00:00"/>
    <x v="6"/>
    <x v="2"/>
    <x v="0"/>
    <x v="8"/>
    <x v="2"/>
    <x v="0"/>
    <x v="19"/>
    <n v="19"/>
    <n v="15000"/>
    <n v="10"/>
    <n v="256500"/>
    <n v="0.25925925925925924"/>
    <n v="10000"/>
    <n v="190000"/>
    <n v="66500"/>
    <x v="1"/>
    <s v="Standard"/>
    <x v="3"/>
    <x v="1"/>
    <s v="2024-02-06"/>
  </r>
  <r>
    <s v="ORD-1087"/>
    <d v="2024-06-04T00:00:00"/>
    <x v="2"/>
    <x v="1"/>
    <x v="0"/>
    <x v="5"/>
    <x v="3"/>
    <x v="3"/>
    <x v="14"/>
    <n v="16"/>
    <n v="1200"/>
    <n v="15"/>
    <n v="16320"/>
    <n v="0.31372549019607843"/>
    <n v="700"/>
    <n v="11200"/>
    <n v="5120"/>
    <x v="0"/>
    <s v="Standard"/>
    <x v="1"/>
    <x v="1"/>
    <s v="2024-06-04"/>
  </r>
  <r>
    <s v="ORD-1088"/>
    <d v="2024-08-09T00:00:00"/>
    <x v="11"/>
    <x v="3"/>
    <x v="0"/>
    <x v="7"/>
    <x v="3"/>
    <x v="1"/>
    <x v="1"/>
    <n v="8"/>
    <n v="25000"/>
    <n v="25"/>
    <n v="150000"/>
    <n v="0.04"/>
    <n v="18000"/>
    <n v="144000"/>
    <n v="6000"/>
    <x v="0"/>
    <s v="Standard"/>
    <x v="0"/>
    <x v="3"/>
    <s v="2024-08-09"/>
  </r>
  <r>
    <s v="ORD-1089"/>
    <d v="2024-10-22T00:00:00"/>
    <x v="1"/>
    <x v="0"/>
    <x v="0"/>
    <x v="8"/>
    <x v="2"/>
    <x v="4"/>
    <x v="12"/>
    <n v="15"/>
    <n v="1200"/>
    <n v="10"/>
    <n v="16200"/>
    <n v="0.16666666666666666"/>
    <n v="900"/>
    <n v="13500"/>
    <n v="2700"/>
    <x v="0"/>
    <s v="Standard"/>
    <x v="1"/>
    <x v="1"/>
    <s v="2024-10-22"/>
  </r>
  <r>
    <s v="ORD-1090"/>
    <d v="2024-09-08T00:00:00"/>
    <x v="8"/>
    <x v="3"/>
    <x v="0"/>
    <x v="0"/>
    <x v="6"/>
    <x v="0"/>
    <x v="6"/>
    <n v="11"/>
    <n v="12000"/>
    <n v="10"/>
    <n v="118800"/>
    <n v="0.25925925925925924"/>
    <n v="8000"/>
    <n v="88000"/>
    <n v="30800"/>
    <x v="0"/>
    <s v="Standard"/>
    <x v="2"/>
    <x v="1"/>
    <s v="2024-09-08"/>
  </r>
  <r>
    <s v="ORD-1091"/>
    <d v="2024-12-21T00:00:00"/>
    <x v="7"/>
    <x v="0"/>
    <x v="0"/>
    <x v="9"/>
    <x v="3"/>
    <x v="4"/>
    <x v="12"/>
    <n v="2"/>
    <n v="1200"/>
    <n v="15"/>
    <n v="2040"/>
    <n v="0.11764705882352941"/>
    <n v="900"/>
    <n v="1800"/>
    <n v="240"/>
    <x v="0"/>
    <s v="Standard"/>
    <x v="4"/>
    <x v="1"/>
    <s v="2024-12-21"/>
  </r>
  <r>
    <s v="ORD-1092"/>
    <d v="2024-02-29T00:00:00"/>
    <x v="6"/>
    <x v="2"/>
    <x v="0"/>
    <x v="5"/>
    <x v="0"/>
    <x v="3"/>
    <x v="8"/>
    <n v="14"/>
    <n v="8000"/>
    <n v="0"/>
    <n v="112000"/>
    <n v="0.375"/>
    <n v="5000"/>
    <n v="70000"/>
    <n v="42000"/>
    <x v="0"/>
    <s v="High Value"/>
    <x v="1"/>
    <x v="1"/>
    <s v="2024-02-29"/>
  </r>
  <r>
    <s v="ORD-1093"/>
    <d v="2024-09-12T00:00:00"/>
    <x v="8"/>
    <x v="3"/>
    <x v="0"/>
    <x v="9"/>
    <x v="0"/>
    <x v="2"/>
    <x v="3"/>
    <n v="18"/>
    <n v="3000"/>
    <n v="5"/>
    <n v="51300"/>
    <n v="0.47368421052631576"/>
    <n v="1500"/>
    <n v="27000"/>
    <n v="24300"/>
    <x v="1"/>
    <s v="High Value"/>
    <x v="5"/>
    <x v="3"/>
    <s v="2024-09-12"/>
  </r>
  <r>
    <s v="ORD-1094"/>
    <d v="2024-09-05T00:00:00"/>
    <x v="8"/>
    <x v="3"/>
    <x v="0"/>
    <x v="0"/>
    <x v="0"/>
    <x v="3"/>
    <x v="5"/>
    <n v="6"/>
    <n v="2000"/>
    <n v="10"/>
    <n v="10800"/>
    <n v="0.33333333333333331"/>
    <n v="1200"/>
    <n v="7200"/>
    <n v="3600"/>
    <x v="0"/>
    <s v="Standard"/>
    <x v="1"/>
    <x v="1"/>
    <s v="2024-09-05"/>
  </r>
  <r>
    <s v="ORD-1095"/>
    <d v="2024-04-25T00:00:00"/>
    <x v="3"/>
    <x v="1"/>
    <x v="0"/>
    <x v="0"/>
    <x v="6"/>
    <x v="1"/>
    <x v="16"/>
    <n v="16"/>
    <n v="85000"/>
    <n v="25"/>
    <n v="1020000"/>
    <n v="-1.9607843137254902E-2"/>
    <n v="65000"/>
    <n v="1040000"/>
    <n v="-20000"/>
    <x v="1"/>
    <s v="Standard"/>
    <x v="1"/>
    <x v="0"/>
    <s v="2024-04-25"/>
  </r>
  <r>
    <s v="ORD-1096"/>
    <d v="2024-07-31T00:00:00"/>
    <x v="9"/>
    <x v="3"/>
    <x v="0"/>
    <x v="9"/>
    <x v="6"/>
    <x v="2"/>
    <x v="2"/>
    <n v="18"/>
    <n v="6000"/>
    <n v="5"/>
    <n v="102600"/>
    <n v="0.38596491228070173"/>
    <n v="3500"/>
    <n v="63000"/>
    <n v="39600"/>
    <x v="1"/>
    <s v="High Value"/>
    <x v="2"/>
    <x v="4"/>
    <s v="2024-07-31"/>
  </r>
  <r>
    <s v="ORD-1097"/>
    <d v="2024-09-17T00:00:00"/>
    <x v="8"/>
    <x v="3"/>
    <x v="0"/>
    <x v="6"/>
    <x v="7"/>
    <x v="0"/>
    <x v="6"/>
    <n v="11"/>
    <n v="12000"/>
    <n v="20"/>
    <n v="105600"/>
    <n v="0.16666666666666666"/>
    <n v="8000"/>
    <n v="88000"/>
    <n v="17600"/>
    <x v="1"/>
    <s v="Standard"/>
    <x v="3"/>
    <x v="1"/>
    <s v="2024-09-17"/>
  </r>
  <r>
    <s v="ORD-1098"/>
    <d v="2024-06-01T00:00:00"/>
    <x v="2"/>
    <x v="1"/>
    <x v="0"/>
    <x v="3"/>
    <x v="6"/>
    <x v="2"/>
    <x v="2"/>
    <n v="18"/>
    <n v="6000"/>
    <n v="15"/>
    <n v="91800"/>
    <n v="0.31372549019607843"/>
    <n v="3500"/>
    <n v="63000"/>
    <n v="28800"/>
    <x v="1"/>
    <s v="Standard"/>
    <x v="4"/>
    <x v="1"/>
    <s v="2024-06-01"/>
  </r>
  <r>
    <s v="ORD-1099"/>
    <d v="2024-10-05T00:00:00"/>
    <x v="1"/>
    <x v="0"/>
    <x v="0"/>
    <x v="5"/>
    <x v="6"/>
    <x v="0"/>
    <x v="0"/>
    <n v="8"/>
    <n v="3500"/>
    <n v="20"/>
    <n v="22400"/>
    <n v="0.2857142857142857"/>
    <n v="2000"/>
    <n v="16000"/>
    <n v="6400"/>
    <x v="1"/>
    <s v="Standard"/>
    <x v="2"/>
    <x v="3"/>
    <s v="2024-10-05"/>
  </r>
  <r>
    <s v="ORD-1100"/>
    <d v="2024-07-29T00:00:00"/>
    <x v="9"/>
    <x v="3"/>
    <x v="0"/>
    <x v="8"/>
    <x v="4"/>
    <x v="4"/>
    <x v="15"/>
    <n v="13"/>
    <n v="700"/>
    <n v="25"/>
    <n v="6825"/>
    <n v="4.7619047619047616E-2"/>
    <n v="500"/>
    <n v="6500"/>
    <n v="325"/>
    <x v="0"/>
    <s v="Standard"/>
    <x v="5"/>
    <x v="4"/>
    <s v="2024-07-29"/>
  </r>
  <r>
    <s v="ORD-1101"/>
    <d v="2024-03-05T00:00:00"/>
    <x v="5"/>
    <x v="2"/>
    <x v="0"/>
    <x v="4"/>
    <x v="4"/>
    <x v="1"/>
    <x v="4"/>
    <n v="4"/>
    <n v="5000"/>
    <n v="20"/>
    <n v="16000"/>
    <n v="0.25"/>
    <n v="3000"/>
    <n v="12000"/>
    <n v="4000"/>
    <x v="1"/>
    <s v="Standard"/>
    <x v="3"/>
    <x v="0"/>
    <s v="2024-03-05"/>
  </r>
  <r>
    <s v="ORD-1102"/>
    <d v="2024-07-28T00:00:00"/>
    <x v="9"/>
    <x v="3"/>
    <x v="0"/>
    <x v="6"/>
    <x v="7"/>
    <x v="4"/>
    <x v="13"/>
    <n v="11"/>
    <n v="400"/>
    <n v="20"/>
    <n v="3520"/>
    <n v="0.125"/>
    <n v="280"/>
    <n v="3080"/>
    <n v="440"/>
    <x v="1"/>
    <s v="Standard"/>
    <x v="0"/>
    <x v="1"/>
    <s v="2024-07-28"/>
  </r>
  <r>
    <s v="ORD-1103"/>
    <d v="2024-06-17T00:00:00"/>
    <x v="2"/>
    <x v="1"/>
    <x v="0"/>
    <x v="4"/>
    <x v="1"/>
    <x v="0"/>
    <x v="6"/>
    <n v="18"/>
    <n v="12000"/>
    <n v="0"/>
    <n v="216000"/>
    <n v="0.33333333333333331"/>
    <n v="8000"/>
    <n v="144000"/>
    <n v="72000"/>
    <x v="0"/>
    <s v="High Value"/>
    <x v="2"/>
    <x v="0"/>
    <s v="2024-06-17"/>
  </r>
  <r>
    <s v="ORD-1104"/>
    <d v="2024-05-27T00:00:00"/>
    <x v="4"/>
    <x v="1"/>
    <x v="0"/>
    <x v="1"/>
    <x v="7"/>
    <x v="4"/>
    <x v="17"/>
    <n v="4"/>
    <n v="800"/>
    <n v="15"/>
    <n v="2720"/>
    <n v="0.11764705882352941"/>
    <n v="600"/>
    <n v="2400"/>
    <n v="320"/>
    <x v="0"/>
    <s v="Standard"/>
    <x v="0"/>
    <x v="1"/>
    <s v="2024-05-27"/>
  </r>
  <r>
    <s v="ORD-1105"/>
    <d v="2024-01-15T00:00:00"/>
    <x v="10"/>
    <x v="2"/>
    <x v="0"/>
    <x v="8"/>
    <x v="4"/>
    <x v="1"/>
    <x v="24"/>
    <n v="12"/>
    <n v="35000"/>
    <n v="10"/>
    <n v="378000"/>
    <n v="0.17460317460317459"/>
    <n v="26000"/>
    <n v="312000"/>
    <n v="66000"/>
    <x v="1"/>
    <s v="Standard"/>
    <x v="2"/>
    <x v="1"/>
    <s v="2024-01-15"/>
  </r>
  <r>
    <s v="ORD-1106"/>
    <d v="2024-07-29T00:00:00"/>
    <x v="9"/>
    <x v="3"/>
    <x v="0"/>
    <x v="3"/>
    <x v="2"/>
    <x v="2"/>
    <x v="20"/>
    <n v="3"/>
    <n v="3500"/>
    <n v="20"/>
    <n v="8400"/>
    <n v="0.35714285714285715"/>
    <n v="1800"/>
    <n v="5400"/>
    <n v="3000"/>
    <x v="1"/>
    <s v="Standard"/>
    <x v="1"/>
    <x v="0"/>
    <s v="2024-07-29"/>
  </r>
  <r>
    <s v="ORD-1107"/>
    <d v="2024-09-11T00:00:00"/>
    <x v="8"/>
    <x v="3"/>
    <x v="0"/>
    <x v="3"/>
    <x v="2"/>
    <x v="2"/>
    <x v="2"/>
    <n v="9"/>
    <n v="6000"/>
    <n v="15"/>
    <n v="45900"/>
    <n v="0.31372549019607843"/>
    <n v="3500"/>
    <n v="31500"/>
    <n v="14400"/>
    <x v="1"/>
    <s v="Standard"/>
    <x v="0"/>
    <x v="1"/>
    <s v="2024-09-11"/>
  </r>
  <r>
    <s v="ORD-1108"/>
    <d v="2024-08-26T00:00:00"/>
    <x v="11"/>
    <x v="3"/>
    <x v="0"/>
    <x v="2"/>
    <x v="2"/>
    <x v="1"/>
    <x v="4"/>
    <n v="12"/>
    <n v="5000"/>
    <n v="20"/>
    <n v="48000"/>
    <n v="0.25"/>
    <n v="3000"/>
    <n v="36000"/>
    <n v="12000"/>
    <x v="1"/>
    <s v="Standard"/>
    <x v="0"/>
    <x v="4"/>
    <s v="2024-08-26"/>
  </r>
  <r>
    <s v="ORD-1109"/>
    <d v="2024-12-19T00:00:00"/>
    <x v="7"/>
    <x v="0"/>
    <x v="0"/>
    <x v="2"/>
    <x v="6"/>
    <x v="0"/>
    <x v="0"/>
    <n v="13"/>
    <n v="3500"/>
    <n v="15"/>
    <n v="38675"/>
    <n v="0.32773109243697479"/>
    <n v="2000"/>
    <n v="26000"/>
    <n v="12675"/>
    <x v="0"/>
    <s v="Standard"/>
    <x v="2"/>
    <x v="1"/>
    <s v="2024-12-19"/>
  </r>
  <r>
    <s v="ORD-1110"/>
    <d v="2024-07-02T00:00:00"/>
    <x v="9"/>
    <x v="3"/>
    <x v="0"/>
    <x v="3"/>
    <x v="3"/>
    <x v="0"/>
    <x v="7"/>
    <n v="13"/>
    <n v="18000"/>
    <n v="10"/>
    <n v="210600"/>
    <n v="0.25925925925925924"/>
    <n v="12000"/>
    <n v="156000"/>
    <n v="54600"/>
    <x v="0"/>
    <s v="Standard"/>
    <x v="1"/>
    <x v="3"/>
    <s v="2024-07-02"/>
  </r>
  <r>
    <s v="ORD-1111"/>
    <d v="2024-01-26T00:00:00"/>
    <x v="10"/>
    <x v="2"/>
    <x v="0"/>
    <x v="3"/>
    <x v="6"/>
    <x v="0"/>
    <x v="0"/>
    <n v="20"/>
    <n v="3500"/>
    <n v="10"/>
    <n v="63000"/>
    <n v="0.36507936507936506"/>
    <n v="2000"/>
    <n v="40000"/>
    <n v="23000"/>
    <x v="0"/>
    <s v="Standard"/>
    <x v="0"/>
    <x v="1"/>
    <s v="2024-01-26"/>
  </r>
  <r>
    <s v="ORD-1112"/>
    <d v="2024-05-08T00:00:00"/>
    <x v="4"/>
    <x v="1"/>
    <x v="0"/>
    <x v="6"/>
    <x v="7"/>
    <x v="1"/>
    <x v="24"/>
    <n v="15"/>
    <n v="35000"/>
    <n v="0"/>
    <n v="525000"/>
    <n v="0.25714285714285712"/>
    <n v="26000"/>
    <n v="390000"/>
    <n v="135000"/>
    <x v="1"/>
    <s v="High Value"/>
    <x v="0"/>
    <x v="1"/>
    <s v="2024-05-08"/>
  </r>
  <r>
    <s v="ORD-1113"/>
    <d v="2024-05-31T00:00:00"/>
    <x v="4"/>
    <x v="1"/>
    <x v="0"/>
    <x v="7"/>
    <x v="1"/>
    <x v="2"/>
    <x v="20"/>
    <n v="5"/>
    <n v="3500"/>
    <n v="20"/>
    <n v="14000"/>
    <n v="0.35714285714285715"/>
    <n v="1800"/>
    <n v="9000"/>
    <n v="5000"/>
    <x v="1"/>
    <s v="Standard"/>
    <x v="1"/>
    <x v="1"/>
    <s v="2024-05-31"/>
  </r>
  <r>
    <s v="ORD-1114"/>
    <d v="2024-05-19T00:00:00"/>
    <x v="4"/>
    <x v="1"/>
    <x v="0"/>
    <x v="6"/>
    <x v="3"/>
    <x v="4"/>
    <x v="13"/>
    <n v="11"/>
    <n v="400"/>
    <n v="0"/>
    <n v="4400"/>
    <n v="0.3"/>
    <n v="280"/>
    <n v="3080"/>
    <n v="1320"/>
    <x v="1"/>
    <s v="Standard"/>
    <x v="3"/>
    <x v="1"/>
    <s v="2024-05-19"/>
  </r>
  <r>
    <s v="ORD-1115"/>
    <d v="2024-04-25T00:00:00"/>
    <x v="3"/>
    <x v="1"/>
    <x v="0"/>
    <x v="5"/>
    <x v="4"/>
    <x v="1"/>
    <x v="4"/>
    <n v="1"/>
    <n v="5000"/>
    <n v="10"/>
    <n v="4500"/>
    <n v="0.33333333333333331"/>
    <n v="3000"/>
    <n v="3000"/>
    <n v="1500"/>
    <x v="0"/>
    <s v="Standard"/>
    <x v="5"/>
    <x v="1"/>
    <s v="2024-04-25"/>
  </r>
  <r>
    <s v="ORD-1116"/>
    <d v="2024-12-10T00:00:00"/>
    <x v="7"/>
    <x v="0"/>
    <x v="0"/>
    <x v="2"/>
    <x v="1"/>
    <x v="0"/>
    <x v="7"/>
    <n v="8"/>
    <n v="18000"/>
    <n v="15"/>
    <n v="122400"/>
    <n v="0.21568627450980393"/>
    <n v="12000"/>
    <n v="96000"/>
    <n v="26400"/>
    <x v="0"/>
    <s v="Standard"/>
    <x v="1"/>
    <x v="3"/>
    <s v="2024-12-10"/>
  </r>
  <r>
    <s v="ORD-1117"/>
    <d v="2024-10-14T00:00:00"/>
    <x v="1"/>
    <x v="0"/>
    <x v="0"/>
    <x v="7"/>
    <x v="5"/>
    <x v="1"/>
    <x v="4"/>
    <n v="10"/>
    <n v="5000"/>
    <n v="25"/>
    <n v="37500"/>
    <n v="0.2"/>
    <n v="3000"/>
    <n v="30000"/>
    <n v="7500"/>
    <x v="1"/>
    <s v="Standard"/>
    <x v="3"/>
    <x v="1"/>
    <s v="2024-10-14"/>
  </r>
  <r>
    <s v="ORD-1118"/>
    <d v="2024-01-20T00:00:00"/>
    <x v="10"/>
    <x v="2"/>
    <x v="0"/>
    <x v="2"/>
    <x v="6"/>
    <x v="1"/>
    <x v="1"/>
    <n v="8"/>
    <n v="25000"/>
    <n v="20"/>
    <n v="160000"/>
    <n v="0.1"/>
    <n v="18000"/>
    <n v="144000"/>
    <n v="16000"/>
    <x v="0"/>
    <s v="Standard"/>
    <x v="5"/>
    <x v="1"/>
    <s v="2024-01-20"/>
  </r>
  <r>
    <s v="ORD-1119"/>
    <d v="2024-12-09T00:00:00"/>
    <x v="7"/>
    <x v="0"/>
    <x v="0"/>
    <x v="4"/>
    <x v="1"/>
    <x v="3"/>
    <x v="5"/>
    <n v="14"/>
    <n v="2000"/>
    <n v="25"/>
    <n v="21000"/>
    <n v="0.2"/>
    <n v="1200"/>
    <n v="16800"/>
    <n v="4200"/>
    <x v="0"/>
    <s v="Standard"/>
    <x v="5"/>
    <x v="0"/>
    <s v="2024-12-09"/>
  </r>
  <r>
    <s v="ORD-1120"/>
    <d v="2024-05-23T00:00:00"/>
    <x v="4"/>
    <x v="1"/>
    <x v="0"/>
    <x v="8"/>
    <x v="4"/>
    <x v="2"/>
    <x v="2"/>
    <n v="15"/>
    <n v="6000"/>
    <n v="5"/>
    <n v="85500"/>
    <n v="0.38596491228070173"/>
    <n v="3500"/>
    <n v="52500"/>
    <n v="33000"/>
    <x v="1"/>
    <s v="High Value"/>
    <x v="3"/>
    <x v="2"/>
    <s v="2024-05-23"/>
  </r>
  <r>
    <s v="ORD-1121"/>
    <d v="2024-07-07T00:00:00"/>
    <x v="9"/>
    <x v="3"/>
    <x v="0"/>
    <x v="4"/>
    <x v="4"/>
    <x v="1"/>
    <x v="4"/>
    <n v="9"/>
    <n v="5000"/>
    <n v="5"/>
    <n v="42750"/>
    <n v="0.36842105263157893"/>
    <n v="3000"/>
    <n v="27000"/>
    <n v="15750"/>
    <x v="0"/>
    <s v="Standard"/>
    <x v="5"/>
    <x v="1"/>
    <s v="2024-07-07"/>
  </r>
  <r>
    <s v="ORD-1122"/>
    <d v="2024-04-18T00:00:00"/>
    <x v="3"/>
    <x v="1"/>
    <x v="0"/>
    <x v="3"/>
    <x v="0"/>
    <x v="1"/>
    <x v="24"/>
    <n v="8"/>
    <n v="35000"/>
    <n v="5"/>
    <n v="266000"/>
    <n v="0.21804511278195488"/>
    <n v="26000"/>
    <n v="208000"/>
    <n v="58000"/>
    <x v="0"/>
    <s v="High Value"/>
    <x v="3"/>
    <x v="3"/>
    <s v="2024-04-18"/>
  </r>
  <r>
    <s v="ORD-1123"/>
    <d v="2024-10-10T00:00:00"/>
    <x v="1"/>
    <x v="0"/>
    <x v="0"/>
    <x v="1"/>
    <x v="5"/>
    <x v="2"/>
    <x v="3"/>
    <n v="5"/>
    <n v="3000"/>
    <n v="20"/>
    <n v="12000"/>
    <n v="0.375"/>
    <n v="1500"/>
    <n v="7500"/>
    <n v="4500"/>
    <x v="0"/>
    <s v="Standard"/>
    <x v="4"/>
    <x v="3"/>
    <s v="2024-10-10"/>
  </r>
  <r>
    <s v="ORD-1124"/>
    <d v="2024-03-15T00:00:00"/>
    <x v="5"/>
    <x v="2"/>
    <x v="0"/>
    <x v="6"/>
    <x v="3"/>
    <x v="2"/>
    <x v="23"/>
    <n v="1"/>
    <n v="2500"/>
    <n v="5"/>
    <n v="2375"/>
    <n v="0.49473684210526314"/>
    <n v="1200"/>
    <n v="1200"/>
    <n v="1175"/>
    <x v="0"/>
    <s v="Standard"/>
    <x v="4"/>
    <x v="3"/>
    <s v="2024-03-15"/>
  </r>
  <r>
    <s v="ORD-1125"/>
    <d v="2024-05-01T00:00:00"/>
    <x v="4"/>
    <x v="1"/>
    <x v="0"/>
    <x v="3"/>
    <x v="4"/>
    <x v="1"/>
    <x v="16"/>
    <n v="9"/>
    <n v="85000"/>
    <n v="0"/>
    <n v="765000"/>
    <n v="0.23529411764705882"/>
    <n v="65000"/>
    <n v="585000"/>
    <n v="180000"/>
    <x v="0"/>
    <s v="High Value"/>
    <x v="0"/>
    <x v="1"/>
    <s v="2024-05-01"/>
  </r>
  <r>
    <s v="ORD-1126"/>
    <d v="2024-02-28T00:00:00"/>
    <x v="6"/>
    <x v="2"/>
    <x v="0"/>
    <x v="0"/>
    <x v="6"/>
    <x v="4"/>
    <x v="13"/>
    <n v="17"/>
    <n v="400"/>
    <n v="20"/>
    <n v="5440"/>
    <n v="0.125"/>
    <n v="280"/>
    <n v="4760"/>
    <n v="680"/>
    <x v="0"/>
    <s v="Standard"/>
    <x v="5"/>
    <x v="1"/>
    <s v="2024-02-28"/>
  </r>
  <r>
    <s v="ORD-1127"/>
    <d v="2024-11-10T00:00:00"/>
    <x v="0"/>
    <x v="0"/>
    <x v="0"/>
    <x v="8"/>
    <x v="3"/>
    <x v="4"/>
    <x v="17"/>
    <n v="2"/>
    <n v="800"/>
    <n v="15"/>
    <n v="1360"/>
    <n v="0.11764705882352941"/>
    <n v="600"/>
    <n v="1200"/>
    <n v="160"/>
    <x v="1"/>
    <s v="Standard"/>
    <x v="5"/>
    <x v="0"/>
    <s v="2024-11-10"/>
  </r>
  <r>
    <s v="ORD-1128"/>
    <d v="2024-09-08T00:00:00"/>
    <x v="8"/>
    <x v="3"/>
    <x v="0"/>
    <x v="9"/>
    <x v="7"/>
    <x v="1"/>
    <x v="24"/>
    <n v="20"/>
    <n v="35000"/>
    <n v="5"/>
    <n v="665000"/>
    <n v="0.21804511278195488"/>
    <n v="26000"/>
    <n v="520000"/>
    <n v="145000"/>
    <x v="0"/>
    <s v="High Value"/>
    <x v="2"/>
    <x v="1"/>
    <s v="2024-09-08"/>
  </r>
  <r>
    <s v="ORD-1129"/>
    <d v="2024-11-20T00:00:00"/>
    <x v="0"/>
    <x v="0"/>
    <x v="0"/>
    <x v="3"/>
    <x v="4"/>
    <x v="4"/>
    <x v="12"/>
    <n v="17"/>
    <n v="1200"/>
    <n v="10"/>
    <n v="18360"/>
    <n v="0.16666666666666666"/>
    <n v="900"/>
    <n v="15300"/>
    <n v="3060"/>
    <x v="1"/>
    <s v="Standard"/>
    <x v="1"/>
    <x v="0"/>
    <s v="2024-11-20"/>
  </r>
  <r>
    <s v="ORD-1130"/>
    <d v="2024-02-20T00:00:00"/>
    <x v="6"/>
    <x v="2"/>
    <x v="0"/>
    <x v="0"/>
    <x v="5"/>
    <x v="4"/>
    <x v="15"/>
    <n v="8"/>
    <n v="700"/>
    <n v="15"/>
    <n v="4760"/>
    <n v="0.15966386554621848"/>
    <n v="500"/>
    <n v="4000"/>
    <n v="760"/>
    <x v="1"/>
    <s v="Standard"/>
    <x v="5"/>
    <x v="1"/>
    <s v="2024-02-20"/>
  </r>
  <r>
    <s v="ORD-1131"/>
    <d v="2024-02-18T00:00:00"/>
    <x v="6"/>
    <x v="2"/>
    <x v="0"/>
    <x v="7"/>
    <x v="1"/>
    <x v="0"/>
    <x v="21"/>
    <n v="12"/>
    <n v="5000"/>
    <n v="5"/>
    <n v="57000"/>
    <n v="0.36842105263157893"/>
    <n v="3000"/>
    <n v="36000"/>
    <n v="21000"/>
    <x v="1"/>
    <s v="High Value"/>
    <x v="3"/>
    <x v="1"/>
    <s v="2024-02-18"/>
  </r>
  <r>
    <s v="ORD-1132"/>
    <d v="2024-02-13T00:00:00"/>
    <x v="6"/>
    <x v="2"/>
    <x v="0"/>
    <x v="0"/>
    <x v="1"/>
    <x v="1"/>
    <x v="24"/>
    <n v="5"/>
    <n v="35000"/>
    <n v="20"/>
    <n v="140000"/>
    <n v="7.1428571428571425E-2"/>
    <n v="26000"/>
    <n v="130000"/>
    <n v="10000"/>
    <x v="0"/>
    <s v="Standard"/>
    <x v="1"/>
    <x v="4"/>
    <s v="2024-02-13"/>
  </r>
  <r>
    <s v="ORD-1133"/>
    <d v="2024-10-14T00:00:00"/>
    <x v="1"/>
    <x v="0"/>
    <x v="0"/>
    <x v="7"/>
    <x v="7"/>
    <x v="4"/>
    <x v="13"/>
    <n v="14"/>
    <n v="400"/>
    <n v="25"/>
    <n v="4200"/>
    <n v="6.6666666666666666E-2"/>
    <n v="280"/>
    <n v="3920"/>
    <n v="280"/>
    <x v="0"/>
    <s v="Standard"/>
    <x v="4"/>
    <x v="0"/>
    <s v="2024-10-14"/>
  </r>
  <r>
    <s v="ORD-1134"/>
    <d v="2024-06-29T00:00:00"/>
    <x v="2"/>
    <x v="1"/>
    <x v="0"/>
    <x v="0"/>
    <x v="5"/>
    <x v="2"/>
    <x v="2"/>
    <n v="8"/>
    <n v="6000"/>
    <n v="0"/>
    <n v="48000"/>
    <n v="0.41666666666666669"/>
    <n v="3500"/>
    <n v="28000"/>
    <n v="20000"/>
    <x v="1"/>
    <s v="Standard"/>
    <x v="1"/>
    <x v="1"/>
    <s v="2024-06-29"/>
  </r>
  <r>
    <s v="ORD-1135"/>
    <d v="2024-05-22T00:00:00"/>
    <x v="4"/>
    <x v="1"/>
    <x v="0"/>
    <x v="3"/>
    <x v="5"/>
    <x v="4"/>
    <x v="12"/>
    <n v="20"/>
    <n v="1200"/>
    <n v="20"/>
    <n v="19200"/>
    <n v="6.25E-2"/>
    <n v="900"/>
    <n v="18000"/>
    <n v="1200"/>
    <x v="0"/>
    <s v="Standard"/>
    <x v="1"/>
    <x v="4"/>
    <s v="2024-05-22"/>
  </r>
  <r>
    <s v="ORD-1136"/>
    <d v="2024-12-21T00:00:00"/>
    <x v="7"/>
    <x v="0"/>
    <x v="0"/>
    <x v="2"/>
    <x v="0"/>
    <x v="2"/>
    <x v="3"/>
    <n v="10"/>
    <n v="3000"/>
    <n v="10"/>
    <n v="27000"/>
    <n v="0.44444444444444442"/>
    <n v="1500"/>
    <n v="15000"/>
    <n v="12000"/>
    <x v="1"/>
    <s v="Standard"/>
    <x v="3"/>
    <x v="1"/>
    <s v="2024-12-21"/>
  </r>
  <r>
    <s v="ORD-1137"/>
    <d v="2024-03-14T00:00:00"/>
    <x v="5"/>
    <x v="2"/>
    <x v="0"/>
    <x v="3"/>
    <x v="1"/>
    <x v="1"/>
    <x v="16"/>
    <n v="1"/>
    <n v="85000"/>
    <n v="0"/>
    <n v="85000"/>
    <n v="0.23529411764705882"/>
    <n v="65000"/>
    <n v="65000"/>
    <n v="20000"/>
    <x v="0"/>
    <s v="High Value"/>
    <x v="5"/>
    <x v="1"/>
    <s v="2024-03-14"/>
  </r>
  <r>
    <s v="ORD-1138"/>
    <d v="2024-06-23T00:00:00"/>
    <x v="2"/>
    <x v="1"/>
    <x v="0"/>
    <x v="6"/>
    <x v="4"/>
    <x v="0"/>
    <x v="21"/>
    <n v="19"/>
    <n v="5000"/>
    <n v="20"/>
    <n v="76000"/>
    <n v="0.25"/>
    <n v="3000"/>
    <n v="57000"/>
    <n v="19000"/>
    <x v="0"/>
    <s v="Standard"/>
    <x v="3"/>
    <x v="1"/>
    <s v="2024-06-23"/>
  </r>
  <r>
    <s v="ORD-1139"/>
    <d v="2024-11-12T00:00:00"/>
    <x v="0"/>
    <x v="0"/>
    <x v="0"/>
    <x v="8"/>
    <x v="7"/>
    <x v="0"/>
    <x v="6"/>
    <n v="14"/>
    <n v="12000"/>
    <n v="15"/>
    <n v="142800"/>
    <n v="0.21568627450980393"/>
    <n v="8000"/>
    <n v="112000"/>
    <n v="30800"/>
    <x v="1"/>
    <s v="Standard"/>
    <x v="5"/>
    <x v="1"/>
    <s v="2024-11-12"/>
  </r>
  <r>
    <s v="ORD-1140"/>
    <d v="2024-09-19T00:00:00"/>
    <x v="8"/>
    <x v="3"/>
    <x v="0"/>
    <x v="0"/>
    <x v="4"/>
    <x v="4"/>
    <x v="17"/>
    <n v="10"/>
    <n v="800"/>
    <n v="25"/>
    <n v="6000"/>
    <n v="0"/>
    <n v="600"/>
    <n v="6000"/>
    <n v="0"/>
    <x v="1"/>
    <s v="Standard"/>
    <x v="1"/>
    <x v="0"/>
    <s v="2024-09-19"/>
  </r>
  <r>
    <s v="ORD-1141"/>
    <d v="2024-01-24T00:00:00"/>
    <x v="10"/>
    <x v="2"/>
    <x v="0"/>
    <x v="1"/>
    <x v="1"/>
    <x v="3"/>
    <x v="9"/>
    <n v="1"/>
    <n v="4000"/>
    <n v="5"/>
    <n v="3800"/>
    <n v="0.34210526315789475"/>
    <n v="2500"/>
    <n v="2500"/>
    <n v="1300"/>
    <x v="1"/>
    <s v="Standard"/>
    <x v="2"/>
    <x v="3"/>
    <s v="2024-01-24"/>
  </r>
  <r>
    <s v="ORD-1142"/>
    <d v="2024-05-10T00:00:00"/>
    <x v="4"/>
    <x v="1"/>
    <x v="0"/>
    <x v="2"/>
    <x v="4"/>
    <x v="1"/>
    <x v="1"/>
    <n v="16"/>
    <n v="25000"/>
    <n v="25"/>
    <n v="300000"/>
    <n v="0.04"/>
    <n v="18000"/>
    <n v="288000"/>
    <n v="12000"/>
    <x v="1"/>
    <s v="Standard"/>
    <x v="2"/>
    <x v="1"/>
    <s v="2024-05-10"/>
  </r>
  <r>
    <s v="ORD-1143"/>
    <d v="2024-09-29T00:00:00"/>
    <x v="8"/>
    <x v="3"/>
    <x v="0"/>
    <x v="1"/>
    <x v="4"/>
    <x v="1"/>
    <x v="4"/>
    <n v="2"/>
    <n v="5000"/>
    <n v="15"/>
    <n v="8500"/>
    <n v="0.29411764705882354"/>
    <n v="3000"/>
    <n v="6000"/>
    <n v="2500"/>
    <x v="0"/>
    <s v="Standard"/>
    <x v="5"/>
    <x v="4"/>
    <s v="2024-09-29"/>
  </r>
  <r>
    <s v="ORD-1144"/>
    <d v="2024-06-09T00:00:00"/>
    <x v="2"/>
    <x v="1"/>
    <x v="0"/>
    <x v="3"/>
    <x v="1"/>
    <x v="3"/>
    <x v="8"/>
    <n v="14"/>
    <n v="8000"/>
    <n v="10"/>
    <n v="100800"/>
    <n v="0.30555555555555558"/>
    <n v="5000"/>
    <n v="70000"/>
    <n v="30800"/>
    <x v="0"/>
    <s v="Standard"/>
    <x v="5"/>
    <x v="1"/>
    <s v="2024-06-09"/>
  </r>
  <r>
    <s v="ORD-1145"/>
    <d v="2024-06-15T00:00:00"/>
    <x v="2"/>
    <x v="1"/>
    <x v="0"/>
    <x v="6"/>
    <x v="6"/>
    <x v="0"/>
    <x v="7"/>
    <n v="14"/>
    <n v="18000"/>
    <n v="0"/>
    <n v="252000"/>
    <n v="0.33333333333333331"/>
    <n v="12000"/>
    <n v="168000"/>
    <n v="84000"/>
    <x v="0"/>
    <s v="High Value"/>
    <x v="5"/>
    <x v="1"/>
    <s v="2024-06-15"/>
  </r>
  <r>
    <s v="ORD-1146"/>
    <d v="2024-09-25T00:00:00"/>
    <x v="8"/>
    <x v="3"/>
    <x v="0"/>
    <x v="0"/>
    <x v="1"/>
    <x v="0"/>
    <x v="21"/>
    <n v="8"/>
    <n v="5000"/>
    <n v="10"/>
    <n v="36000"/>
    <n v="0.33333333333333331"/>
    <n v="3000"/>
    <n v="24000"/>
    <n v="12000"/>
    <x v="0"/>
    <s v="Standard"/>
    <x v="3"/>
    <x v="1"/>
    <s v="2024-09-25"/>
  </r>
  <r>
    <s v="ORD-1147"/>
    <d v="2024-02-28T00:00:00"/>
    <x v="6"/>
    <x v="2"/>
    <x v="0"/>
    <x v="4"/>
    <x v="5"/>
    <x v="0"/>
    <x v="21"/>
    <n v="5"/>
    <n v="5000"/>
    <n v="5"/>
    <n v="23750"/>
    <n v="0.36842105263157893"/>
    <n v="3000"/>
    <n v="15000"/>
    <n v="8750"/>
    <x v="0"/>
    <s v="Standard"/>
    <x v="2"/>
    <x v="1"/>
    <s v="2024-02-28"/>
  </r>
  <r>
    <s v="ORD-1148"/>
    <d v="2024-03-29T00:00:00"/>
    <x v="5"/>
    <x v="2"/>
    <x v="0"/>
    <x v="3"/>
    <x v="2"/>
    <x v="1"/>
    <x v="16"/>
    <n v="16"/>
    <n v="85000"/>
    <n v="15"/>
    <n v="1156000"/>
    <n v="0.10034602076124567"/>
    <n v="65000"/>
    <n v="1040000"/>
    <n v="116000"/>
    <x v="1"/>
    <s v="Standard"/>
    <x v="0"/>
    <x v="4"/>
    <s v="2024-03-29"/>
  </r>
  <r>
    <s v="ORD-1149"/>
    <d v="2024-10-16T00:00:00"/>
    <x v="1"/>
    <x v="0"/>
    <x v="0"/>
    <x v="3"/>
    <x v="4"/>
    <x v="0"/>
    <x v="0"/>
    <n v="15"/>
    <n v="3500"/>
    <n v="0"/>
    <n v="52500"/>
    <n v="0.42857142857142855"/>
    <n v="2000"/>
    <n v="30000"/>
    <n v="22500"/>
    <x v="1"/>
    <s v="High Value"/>
    <x v="5"/>
    <x v="0"/>
    <s v="2024-10-16"/>
  </r>
  <r>
    <s v="ORD-1150"/>
    <d v="2024-05-20T00:00:00"/>
    <x v="4"/>
    <x v="1"/>
    <x v="0"/>
    <x v="3"/>
    <x v="0"/>
    <x v="0"/>
    <x v="19"/>
    <n v="3"/>
    <n v="15000"/>
    <n v="10"/>
    <n v="40500"/>
    <n v="0.25925925925925924"/>
    <n v="10000"/>
    <n v="30000"/>
    <n v="10500"/>
    <x v="1"/>
    <s v="Standard"/>
    <x v="5"/>
    <x v="1"/>
    <s v="2024-05-20"/>
  </r>
  <r>
    <s v="ORD-1151"/>
    <d v="2024-07-07T00:00:00"/>
    <x v="9"/>
    <x v="3"/>
    <x v="0"/>
    <x v="2"/>
    <x v="7"/>
    <x v="1"/>
    <x v="18"/>
    <n v="20"/>
    <n v="15000"/>
    <n v="20"/>
    <n v="240000"/>
    <n v="0.16666666666666666"/>
    <n v="10000"/>
    <n v="200000"/>
    <n v="40000"/>
    <x v="1"/>
    <s v="Standard"/>
    <x v="5"/>
    <x v="1"/>
    <s v="2024-07-07"/>
  </r>
  <r>
    <s v="ORD-1152"/>
    <d v="2024-01-22T00:00:00"/>
    <x v="10"/>
    <x v="2"/>
    <x v="0"/>
    <x v="9"/>
    <x v="5"/>
    <x v="0"/>
    <x v="19"/>
    <n v="16"/>
    <n v="15000"/>
    <n v="20"/>
    <n v="192000"/>
    <n v="0.16666666666666666"/>
    <n v="10000"/>
    <n v="160000"/>
    <n v="32000"/>
    <x v="0"/>
    <s v="Standard"/>
    <x v="3"/>
    <x v="1"/>
    <s v="2024-01-22"/>
  </r>
  <r>
    <s v="ORD-1153"/>
    <d v="2024-06-24T00:00:00"/>
    <x v="2"/>
    <x v="1"/>
    <x v="0"/>
    <x v="0"/>
    <x v="2"/>
    <x v="1"/>
    <x v="16"/>
    <n v="15"/>
    <n v="85000"/>
    <n v="15"/>
    <n v="1083750"/>
    <n v="0.10034602076124567"/>
    <n v="65000"/>
    <n v="975000"/>
    <n v="108750"/>
    <x v="0"/>
    <s v="Standard"/>
    <x v="4"/>
    <x v="1"/>
    <s v="2024-06-24"/>
  </r>
  <r>
    <s v="ORD-1154"/>
    <d v="2024-05-24T00:00:00"/>
    <x v="4"/>
    <x v="1"/>
    <x v="0"/>
    <x v="5"/>
    <x v="1"/>
    <x v="0"/>
    <x v="19"/>
    <n v="2"/>
    <n v="15000"/>
    <n v="25"/>
    <n v="22500"/>
    <n v="0.1111111111111111"/>
    <n v="10000"/>
    <n v="20000"/>
    <n v="2500"/>
    <x v="1"/>
    <s v="Standard"/>
    <x v="3"/>
    <x v="1"/>
    <s v="2024-05-24"/>
  </r>
  <r>
    <s v="ORD-1155"/>
    <d v="2024-10-12T00:00:00"/>
    <x v="1"/>
    <x v="0"/>
    <x v="0"/>
    <x v="5"/>
    <x v="3"/>
    <x v="0"/>
    <x v="19"/>
    <n v="5"/>
    <n v="15000"/>
    <n v="10"/>
    <n v="67500"/>
    <n v="0.25925925925925924"/>
    <n v="10000"/>
    <n v="50000"/>
    <n v="17500"/>
    <x v="0"/>
    <s v="Standard"/>
    <x v="1"/>
    <x v="0"/>
    <s v="2024-10-12"/>
  </r>
  <r>
    <s v="ORD-1156"/>
    <d v="2024-06-28T00:00:00"/>
    <x v="2"/>
    <x v="1"/>
    <x v="0"/>
    <x v="2"/>
    <x v="1"/>
    <x v="2"/>
    <x v="11"/>
    <n v="3"/>
    <n v="4500"/>
    <n v="10"/>
    <n v="12150"/>
    <n v="0.38271604938271603"/>
    <n v="2500"/>
    <n v="7500"/>
    <n v="4650"/>
    <x v="1"/>
    <s v="Standard"/>
    <x v="0"/>
    <x v="3"/>
    <s v="2024-06-28"/>
  </r>
  <r>
    <s v="ORD-1157"/>
    <d v="2024-03-06T00:00:00"/>
    <x v="5"/>
    <x v="2"/>
    <x v="0"/>
    <x v="4"/>
    <x v="7"/>
    <x v="4"/>
    <x v="12"/>
    <n v="12"/>
    <n v="1200"/>
    <n v="0"/>
    <n v="14400"/>
    <n v="0.25"/>
    <n v="900"/>
    <n v="10800"/>
    <n v="3600"/>
    <x v="1"/>
    <s v="Standard"/>
    <x v="4"/>
    <x v="1"/>
    <s v="2024-03-06"/>
  </r>
  <r>
    <s v="ORD-1158"/>
    <d v="2024-04-19T00:00:00"/>
    <x v="3"/>
    <x v="1"/>
    <x v="0"/>
    <x v="7"/>
    <x v="6"/>
    <x v="2"/>
    <x v="20"/>
    <n v="5"/>
    <n v="3500"/>
    <n v="5"/>
    <n v="16625"/>
    <n v="0.45864661654135336"/>
    <n v="1800"/>
    <n v="9000"/>
    <n v="7625"/>
    <x v="0"/>
    <s v="Standard"/>
    <x v="4"/>
    <x v="3"/>
    <s v="2024-04-19"/>
  </r>
  <r>
    <s v="ORD-1159"/>
    <d v="2024-02-21T00:00:00"/>
    <x v="6"/>
    <x v="2"/>
    <x v="0"/>
    <x v="4"/>
    <x v="0"/>
    <x v="0"/>
    <x v="19"/>
    <n v="5"/>
    <n v="15000"/>
    <n v="20"/>
    <n v="60000"/>
    <n v="0.16666666666666666"/>
    <n v="10000"/>
    <n v="50000"/>
    <n v="10000"/>
    <x v="1"/>
    <s v="Standard"/>
    <x v="2"/>
    <x v="1"/>
    <s v="2024-02-21"/>
  </r>
  <r>
    <s v="ORD-1160"/>
    <d v="2024-12-20T00:00:00"/>
    <x v="7"/>
    <x v="0"/>
    <x v="0"/>
    <x v="3"/>
    <x v="2"/>
    <x v="4"/>
    <x v="17"/>
    <n v="14"/>
    <n v="800"/>
    <n v="10"/>
    <n v="10080"/>
    <n v="0.16666666666666666"/>
    <n v="600"/>
    <n v="8400"/>
    <n v="1680"/>
    <x v="0"/>
    <s v="Standard"/>
    <x v="5"/>
    <x v="0"/>
    <s v="2024-12-20"/>
  </r>
  <r>
    <s v="ORD-1161"/>
    <d v="2024-08-17T00:00:00"/>
    <x v="11"/>
    <x v="3"/>
    <x v="0"/>
    <x v="1"/>
    <x v="5"/>
    <x v="0"/>
    <x v="6"/>
    <n v="7"/>
    <n v="12000"/>
    <n v="10"/>
    <n v="75600"/>
    <n v="0.25925925925925924"/>
    <n v="8000"/>
    <n v="56000"/>
    <n v="19600"/>
    <x v="1"/>
    <s v="Standard"/>
    <x v="5"/>
    <x v="3"/>
    <s v="2024-08-17"/>
  </r>
  <r>
    <s v="ORD-1162"/>
    <d v="2024-07-14T00:00:00"/>
    <x v="9"/>
    <x v="3"/>
    <x v="0"/>
    <x v="4"/>
    <x v="1"/>
    <x v="2"/>
    <x v="20"/>
    <n v="20"/>
    <n v="3500"/>
    <n v="5"/>
    <n v="66500"/>
    <n v="0.45864661654135336"/>
    <n v="1800"/>
    <n v="36000"/>
    <n v="30500"/>
    <x v="1"/>
    <s v="High Value"/>
    <x v="3"/>
    <x v="0"/>
    <s v="2024-07-14"/>
  </r>
  <r>
    <s v="ORD-1163"/>
    <d v="2024-07-09T00:00:00"/>
    <x v="9"/>
    <x v="3"/>
    <x v="0"/>
    <x v="4"/>
    <x v="7"/>
    <x v="3"/>
    <x v="9"/>
    <n v="10"/>
    <n v="4000"/>
    <n v="0"/>
    <n v="40000"/>
    <n v="0.375"/>
    <n v="2500"/>
    <n v="25000"/>
    <n v="15000"/>
    <x v="0"/>
    <s v="Standard"/>
    <x v="4"/>
    <x v="1"/>
    <s v="2024-07-09"/>
  </r>
  <r>
    <s v="ORD-1164"/>
    <d v="2024-09-19T00:00:00"/>
    <x v="8"/>
    <x v="3"/>
    <x v="0"/>
    <x v="6"/>
    <x v="1"/>
    <x v="1"/>
    <x v="16"/>
    <n v="15"/>
    <n v="85000"/>
    <n v="10"/>
    <n v="1147500"/>
    <n v="0.15032679738562091"/>
    <n v="65000"/>
    <n v="975000"/>
    <n v="172500"/>
    <x v="0"/>
    <s v="Standard"/>
    <x v="5"/>
    <x v="1"/>
    <s v="2024-09-19"/>
  </r>
  <r>
    <s v="ORD-1165"/>
    <d v="2024-09-14T00:00:00"/>
    <x v="8"/>
    <x v="3"/>
    <x v="0"/>
    <x v="7"/>
    <x v="5"/>
    <x v="4"/>
    <x v="17"/>
    <n v="12"/>
    <n v="800"/>
    <n v="5"/>
    <n v="9120"/>
    <n v="0.21052631578947367"/>
    <n v="600"/>
    <n v="7200"/>
    <n v="1920"/>
    <x v="0"/>
    <s v="Standard"/>
    <x v="4"/>
    <x v="4"/>
    <s v="2024-09-14"/>
  </r>
  <r>
    <s v="ORD-1166"/>
    <d v="2024-11-28T00:00:00"/>
    <x v="0"/>
    <x v="0"/>
    <x v="0"/>
    <x v="7"/>
    <x v="2"/>
    <x v="2"/>
    <x v="23"/>
    <n v="10"/>
    <n v="2500"/>
    <n v="15"/>
    <n v="21250"/>
    <n v="0.43529411764705883"/>
    <n v="1200"/>
    <n v="12000"/>
    <n v="9250"/>
    <x v="0"/>
    <s v="Standard"/>
    <x v="0"/>
    <x v="1"/>
    <s v="2024-11-28"/>
  </r>
  <r>
    <s v="ORD-1167"/>
    <d v="2024-11-11T00:00:00"/>
    <x v="0"/>
    <x v="0"/>
    <x v="0"/>
    <x v="8"/>
    <x v="7"/>
    <x v="1"/>
    <x v="24"/>
    <n v="7"/>
    <n v="35000"/>
    <n v="5"/>
    <n v="232750"/>
    <n v="0.21804511278195488"/>
    <n v="26000"/>
    <n v="182000"/>
    <n v="50750"/>
    <x v="1"/>
    <s v="High Value"/>
    <x v="3"/>
    <x v="3"/>
    <s v="2024-11-11"/>
  </r>
  <r>
    <s v="ORD-1168"/>
    <d v="2024-05-01T00:00:00"/>
    <x v="4"/>
    <x v="1"/>
    <x v="0"/>
    <x v="2"/>
    <x v="7"/>
    <x v="1"/>
    <x v="16"/>
    <n v="14"/>
    <n v="85000"/>
    <n v="25"/>
    <n v="892500"/>
    <n v="-1.9607843137254902E-2"/>
    <n v="65000"/>
    <n v="910000"/>
    <n v="-17500"/>
    <x v="1"/>
    <s v="Standard"/>
    <x v="3"/>
    <x v="1"/>
    <s v="2024-05-01"/>
  </r>
  <r>
    <s v="ORD-1169"/>
    <d v="2024-09-12T00:00:00"/>
    <x v="8"/>
    <x v="3"/>
    <x v="0"/>
    <x v="3"/>
    <x v="0"/>
    <x v="3"/>
    <x v="14"/>
    <n v="8"/>
    <n v="1200"/>
    <n v="25"/>
    <n v="7200"/>
    <n v="0.22222222222222221"/>
    <n v="700"/>
    <n v="5600"/>
    <n v="1600"/>
    <x v="0"/>
    <s v="Standard"/>
    <x v="4"/>
    <x v="1"/>
    <s v="2024-09-12"/>
  </r>
  <r>
    <s v="ORD-1170"/>
    <d v="2024-11-10T00:00:00"/>
    <x v="0"/>
    <x v="0"/>
    <x v="0"/>
    <x v="7"/>
    <x v="5"/>
    <x v="3"/>
    <x v="8"/>
    <n v="6"/>
    <n v="8000"/>
    <n v="25"/>
    <n v="36000"/>
    <n v="0.16666666666666666"/>
    <n v="5000"/>
    <n v="30000"/>
    <n v="6000"/>
    <x v="0"/>
    <s v="Standard"/>
    <x v="1"/>
    <x v="2"/>
    <s v="2024-11-10"/>
  </r>
  <r>
    <s v="ORD-1171"/>
    <d v="2024-02-04T00:00:00"/>
    <x v="6"/>
    <x v="2"/>
    <x v="0"/>
    <x v="4"/>
    <x v="0"/>
    <x v="4"/>
    <x v="15"/>
    <n v="2"/>
    <n v="700"/>
    <n v="25"/>
    <n v="1050"/>
    <n v="4.7619047619047616E-2"/>
    <n v="500"/>
    <n v="1000"/>
    <n v="50"/>
    <x v="1"/>
    <s v="Standard"/>
    <x v="4"/>
    <x v="1"/>
    <s v="2024-02-04"/>
  </r>
  <r>
    <s v="ORD-1172"/>
    <d v="2024-01-09T00:00:00"/>
    <x v="10"/>
    <x v="2"/>
    <x v="0"/>
    <x v="7"/>
    <x v="7"/>
    <x v="0"/>
    <x v="0"/>
    <n v="4"/>
    <n v="3500"/>
    <n v="20"/>
    <n v="11200"/>
    <n v="0.2857142857142857"/>
    <n v="2000"/>
    <n v="8000"/>
    <n v="3200"/>
    <x v="1"/>
    <s v="Standard"/>
    <x v="2"/>
    <x v="1"/>
    <s v="2024-01-09"/>
  </r>
  <r>
    <s v="ORD-1173"/>
    <d v="2024-10-06T00:00:00"/>
    <x v="1"/>
    <x v="0"/>
    <x v="0"/>
    <x v="7"/>
    <x v="2"/>
    <x v="4"/>
    <x v="15"/>
    <n v="6"/>
    <n v="700"/>
    <n v="5"/>
    <n v="3990"/>
    <n v="0.24812030075187969"/>
    <n v="500"/>
    <n v="3000"/>
    <n v="990"/>
    <x v="0"/>
    <s v="Standard"/>
    <x v="0"/>
    <x v="3"/>
    <s v="2024-10-06"/>
  </r>
  <r>
    <s v="ORD-1174"/>
    <d v="2024-08-22T00:00:00"/>
    <x v="11"/>
    <x v="3"/>
    <x v="0"/>
    <x v="8"/>
    <x v="3"/>
    <x v="2"/>
    <x v="23"/>
    <n v="7"/>
    <n v="2500"/>
    <n v="0"/>
    <n v="17500"/>
    <n v="0.52"/>
    <n v="1200"/>
    <n v="8400"/>
    <n v="9100"/>
    <x v="1"/>
    <s v="Standard"/>
    <x v="4"/>
    <x v="1"/>
    <s v="2024-08-22"/>
  </r>
  <r>
    <s v="ORD-1175"/>
    <d v="2024-10-05T00:00:00"/>
    <x v="1"/>
    <x v="0"/>
    <x v="0"/>
    <x v="9"/>
    <x v="3"/>
    <x v="1"/>
    <x v="16"/>
    <n v="10"/>
    <n v="85000"/>
    <n v="10"/>
    <n v="765000"/>
    <n v="0.15032679738562091"/>
    <n v="65000"/>
    <n v="650000"/>
    <n v="115000"/>
    <x v="0"/>
    <s v="Standard"/>
    <x v="0"/>
    <x v="1"/>
    <s v="2024-10-05"/>
  </r>
  <r>
    <s v="ORD-1176"/>
    <d v="2024-03-04T00:00:00"/>
    <x v="5"/>
    <x v="2"/>
    <x v="0"/>
    <x v="7"/>
    <x v="1"/>
    <x v="4"/>
    <x v="15"/>
    <n v="13"/>
    <n v="700"/>
    <n v="10"/>
    <n v="8190"/>
    <n v="0.20634920634920634"/>
    <n v="500"/>
    <n v="6500"/>
    <n v="1690"/>
    <x v="0"/>
    <s v="Standard"/>
    <x v="5"/>
    <x v="0"/>
    <s v="2024-03-04"/>
  </r>
  <r>
    <s v="ORD-1177"/>
    <d v="2024-07-07T00:00:00"/>
    <x v="9"/>
    <x v="3"/>
    <x v="0"/>
    <x v="4"/>
    <x v="3"/>
    <x v="1"/>
    <x v="4"/>
    <n v="3"/>
    <n v="5000"/>
    <n v="15"/>
    <n v="12750"/>
    <n v="0.29411764705882354"/>
    <n v="3000"/>
    <n v="9000"/>
    <n v="3750"/>
    <x v="0"/>
    <s v="Standard"/>
    <x v="1"/>
    <x v="1"/>
    <s v="2024-07-07"/>
  </r>
  <r>
    <s v="ORD-1178"/>
    <d v="2024-02-22T00:00:00"/>
    <x v="6"/>
    <x v="2"/>
    <x v="0"/>
    <x v="0"/>
    <x v="4"/>
    <x v="0"/>
    <x v="21"/>
    <n v="15"/>
    <n v="5000"/>
    <n v="20"/>
    <n v="60000"/>
    <n v="0.25"/>
    <n v="3000"/>
    <n v="45000"/>
    <n v="15000"/>
    <x v="1"/>
    <s v="Standard"/>
    <x v="2"/>
    <x v="0"/>
    <s v="2024-02-22"/>
  </r>
  <r>
    <s v="ORD-1179"/>
    <d v="2024-06-28T00:00:00"/>
    <x v="2"/>
    <x v="1"/>
    <x v="0"/>
    <x v="9"/>
    <x v="0"/>
    <x v="0"/>
    <x v="19"/>
    <n v="14"/>
    <n v="15000"/>
    <n v="10"/>
    <n v="189000"/>
    <n v="0.25925925925925924"/>
    <n v="10000"/>
    <n v="140000"/>
    <n v="49000"/>
    <x v="0"/>
    <s v="Standard"/>
    <x v="3"/>
    <x v="0"/>
    <s v="2024-06-28"/>
  </r>
  <r>
    <s v="ORD-1180"/>
    <d v="2024-07-26T00:00:00"/>
    <x v="9"/>
    <x v="3"/>
    <x v="0"/>
    <x v="7"/>
    <x v="2"/>
    <x v="1"/>
    <x v="16"/>
    <n v="20"/>
    <n v="85000"/>
    <n v="25"/>
    <n v="1275000"/>
    <n v="-1.9607843137254902E-2"/>
    <n v="65000"/>
    <n v="1300000"/>
    <n v="-25000"/>
    <x v="1"/>
    <s v="Standard"/>
    <x v="3"/>
    <x v="1"/>
    <s v="2024-07-26"/>
  </r>
  <r>
    <s v="ORD-1181"/>
    <d v="2024-04-30T00:00:00"/>
    <x v="3"/>
    <x v="1"/>
    <x v="0"/>
    <x v="7"/>
    <x v="4"/>
    <x v="4"/>
    <x v="12"/>
    <n v="2"/>
    <n v="1200"/>
    <n v="20"/>
    <n v="1920"/>
    <n v="6.25E-2"/>
    <n v="900"/>
    <n v="1800"/>
    <n v="120"/>
    <x v="0"/>
    <s v="Standard"/>
    <x v="0"/>
    <x v="1"/>
    <s v="2024-04-30"/>
  </r>
  <r>
    <s v="ORD-1182"/>
    <d v="2024-07-08T00:00:00"/>
    <x v="9"/>
    <x v="3"/>
    <x v="0"/>
    <x v="7"/>
    <x v="6"/>
    <x v="1"/>
    <x v="18"/>
    <n v="5"/>
    <n v="15000"/>
    <n v="20"/>
    <n v="60000"/>
    <n v="0.16666666666666666"/>
    <n v="10000"/>
    <n v="50000"/>
    <n v="10000"/>
    <x v="1"/>
    <s v="Standard"/>
    <x v="5"/>
    <x v="1"/>
    <s v="2024-07-08"/>
  </r>
  <r>
    <s v="ORD-1183"/>
    <d v="2024-05-22T00:00:00"/>
    <x v="4"/>
    <x v="1"/>
    <x v="0"/>
    <x v="1"/>
    <x v="7"/>
    <x v="1"/>
    <x v="16"/>
    <n v="16"/>
    <n v="85000"/>
    <n v="20"/>
    <n v="1088000"/>
    <n v="4.4117647058823532E-2"/>
    <n v="65000"/>
    <n v="1040000"/>
    <n v="48000"/>
    <x v="1"/>
    <s v="Standard"/>
    <x v="1"/>
    <x v="1"/>
    <s v="2024-05-22"/>
  </r>
  <r>
    <s v="ORD-1184"/>
    <d v="2024-05-13T00:00:00"/>
    <x v="4"/>
    <x v="1"/>
    <x v="0"/>
    <x v="9"/>
    <x v="5"/>
    <x v="3"/>
    <x v="10"/>
    <n v="16"/>
    <n v="1500"/>
    <n v="5"/>
    <n v="22800"/>
    <n v="0.43859649122807015"/>
    <n v="800"/>
    <n v="12800"/>
    <n v="10000"/>
    <x v="0"/>
    <s v="Standard"/>
    <x v="2"/>
    <x v="3"/>
    <s v="2024-05-13"/>
  </r>
  <r>
    <s v="ORD-1185"/>
    <d v="2024-08-19T00:00:00"/>
    <x v="11"/>
    <x v="3"/>
    <x v="0"/>
    <x v="6"/>
    <x v="6"/>
    <x v="1"/>
    <x v="24"/>
    <n v="12"/>
    <n v="35000"/>
    <n v="25"/>
    <n v="315000"/>
    <n v="9.5238095238095247E-3"/>
    <n v="26000"/>
    <n v="312000"/>
    <n v="3000"/>
    <x v="0"/>
    <s v="Standard"/>
    <x v="1"/>
    <x v="1"/>
    <s v="2024-08-19"/>
  </r>
  <r>
    <s v="ORD-1186"/>
    <d v="2024-06-02T00:00:00"/>
    <x v="2"/>
    <x v="1"/>
    <x v="0"/>
    <x v="6"/>
    <x v="2"/>
    <x v="0"/>
    <x v="19"/>
    <n v="8"/>
    <n v="15000"/>
    <n v="0"/>
    <n v="120000"/>
    <n v="0.33333333333333331"/>
    <n v="10000"/>
    <n v="80000"/>
    <n v="40000"/>
    <x v="0"/>
    <s v="High Value"/>
    <x v="2"/>
    <x v="1"/>
    <s v="2024-06-02"/>
  </r>
  <r>
    <s v="ORD-1187"/>
    <d v="2024-09-09T00:00:00"/>
    <x v="8"/>
    <x v="3"/>
    <x v="0"/>
    <x v="8"/>
    <x v="4"/>
    <x v="3"/>
    <x v="14"/>
    <n v="12"/>
    <n v="1200"/>
    <n v="15"/>
    <n v="12240"/>
    <n v="0.31372549019607843"/>
    <n v="700"/>
    <n v="8400"/>
    <n v="3840"/>
    <x v="0"/>
    <s v="Standard"/>
    <x v="1"/>
    <x v="3"/>
    <s v="2024-09-09"/>
  </r>
  <r>
    <s v="ORD-1188"/>
    <d v="2024-02-03T00:00:00"/>
    <x v="6"/>
    <x v="2"/>
    <x v="0"/>
    <x v="2"/>
    <x v="1"/>
    <x v="4"/>
    <x v="12"/>
    <n v="14"/>
    <n v="1200"/>
    <n v="15"/>
    <n v="14280"/>
    <n v="0.11764705882352941"/>
    <n v="900"/>
    <n v="12600"/>
    <n v="1680"/>
    <x v="0"/>
    <s v="Standard"/>
    <x v="2"/>
    <x v="2"/>
    <s v="2024-02-03"/>
  </r>
  <r>
    <s v="ORD-1189"/>
    <d v="2024-11-24T00:00:00"/>
    <x v="0"/>
    <x v="0"/>
    <x v="0"/>
    <x v="0"/>
    <x v="6"/>
    <x v="4"/>
    <x v="12"/>
    <n v="12"/>
    <n v="1200"/>
    <n v="5"/>
    <n v="13680"/>
    <n v="0.21052631578947367"/>
    <n v="900"/>
    <n v="10800"/>
    <n v="2880"/>
    <x v="0"/>
    <s v="Standard"/>
    <x v="2"/>
    <x v="1"/>
    <s v="2024-11-24"/>
  </r>
  <r>
    <s v="ORD-1190"/>
    <d v="2024-01-29T00:00:00"/>
    <x v="10"/>
    <x v="2"/>
    <x v="0"/>
    <x v="0"/>
    <x v="2"/>
    <x v="0"/>
    <x v="0"/>
    <n v="6"/>
    <n v="3500"/>
    <n v="10"/>
    <n v="18900"/>
    <n v="0.36507936507936506"/>
    <n v="2000"/>
    <n v="12000"/>
    <n v="6900"/>
    <x v="0"/>
    <s v="Standard"/>
    <x v="4"/>
    <x v="4"/>
    <s v="2024-01-29"/>
  </r>
  <r>
    <s v="ORD-1191"/>
    <d v="2024-09-22T00:00:00"/>
    <x v="8"/>
    <x v="3"/>
    <x v="0"/>
    <x v="2"/>
    <x v="7"/>
    <x v="0"/>
    <x v="0"/>
    <n v="18"/>
    <n v="3500"/>
    <n v="10"/>
    <n v="56700"/>
    <n v="0.36507936507936506"/>
    <n v="2000"/>
    <n v="36000"/>
    <n v="20700"/>
    <x v="0"/>
    <s v="Standard"/>
    <x v="0"/>
    <x v="1"/>
    <s v="2024-09-22"/>
  </r>
  <r>
    <s v="ORD-1192"/>
    <d v="2024-09-30T00:00:00"/>
    <x v="8"/>
    <x v="3"/>
    <x v="0"/>
    <x v="0"/>
    <x v="2"/>
    <x v="3"/>
    <x v="14"/>
    <n v="5"/>
    <n v="1200"/>
    <n v="5"/>
    <n v="5700"/>
    <n v="0.38596491228070173"/>
    <n v="700"/>
    <n v="3500"/>
    <n v="2200"/>
    <x v="1"/>
    <s v="Standard"/>
    <x v="1"/>
    <x v="1"/>
    <s v="2024-09-30"/>
  </r>
  <r>
    <s v="ORD-1193"/>
    <d v="2024-01-15T00:00:00"/>
    <x v="10"/>
    <x v="2"/>
    <x v="0"/>
    <x v="0"/>
    <x v="0"/>
    <x v="3"/>
    <x v="10"/>
    <n v="7"/>
    <n v="1500"/>
    <n v="20"/>
    <n v="8400"/>
    <n v="0.33333333333333331"/>
    <n v="800"/>
    <n v="5600"/>
    <n v="2800"/>
    <x v="1"/>
    <s v="Standard"/>
    <x v="1"/>
    <x v="0"/>
    <s v="2024-01-15"/>
  </r>
  <r>
    <s v="ORD-1194"/>
    <d v="2024-09-11T00:00:00"/>
    <x v="8"/>
    <x v="3"/>
    <x v="0"/>
    <x v="4"/>
    <x v="3"/>
    <x v="0"/>
    <x v="6"/>
    <n v="8"/>
    <n v="12000"/>
    <n v="25"/>
    <n v="72000"/>
    <n v="0.1111111111111111"/>
    <n v="8000"/>
    <n v="64000"/>
    <n v="8000"/>
    <x v="1"/>
    <s v="Standard"/>
    <x v="4"/>
    <x v="1"/>
    <s v="2024-09-11"/>
  </r>
  <r>
    <s v="ORD-1195"/>
    <d v="2024-12-18T00:00:00"/>
    <x v="7"/>
    <x v="0"/>
    <x v="0"/>
    <x v="8"/>
    <x v="2"/>
    <x v="4"/>
    <x v="15"/>
    <n v="16"/>
    <n v="700"/>
    <n v="15"/>
    <n v="9520"/>
    <n v="0.15966386554621848"/>
    <n v="500"/>
    <n v="8000"/>
    <n v="1520"/>
    <x v="0"/>
    <s v="Standard"/>
    <x v="4"/>
    <x v="0"/>
    <s v="2024-12-18"/>
  </r>
  <r>
    <s v="ORD-1196"/>
    <d v="2024-06-09T00:00:00"/>
    <x v="2"/>
    <x v="1"/>
    <x v="0"/>
    <x v="7"/>
    <x v="4"/>
    <x v="4"/>
    <x v="22"/>
    <n v="12"/>
    <n v="1500"/>
    <n v="20"/>
    <n v="14400"/>
    <n v="8.3333333333333329E-2"/>
    <n v="1100"/>
    <n v="13200"/>
    <n v="1200"/>
    <x v="0"/>
    <s v="Standard"/>
    <x v="4"/>
    <x v="1"/>
    <s v="2024-06-09"/>
  </r>
  <r>
    <s v="ORD-1197"/>
    <d v="2024-03-03T00:00:00"/>
    <x v="5"/>
    <x v="2"/>
    <x v="0"/>
    <x v="2"/>
    <x v="6"/>
    <x v="2"/>
    <x v="20"/>
    <n v="4"/>
    <n v="3500"/>
    <n v="0"/>
    <n v="14000"/>
    <n v="0.48571428571428571"/>
    <n v="1800"/>
    <n v="7200"/>
    <n v="6800"/>
    <x v="1"/>
    <s v="Standard"/>
    <x v="5"/>
    <x v="3"/>
    <s v="2024-03-03"/>
  </r>
  <r>
    <s v="ORD-1198"/>
    <d v="2024-08-02T00:00:00"/>
    <x v="11"/>
    <x v="3"/>
    <x v="0"/>
    <x v="1"/>
    <x v="2"/>
    <x v="0"/>
    <x v="19"/>
    <n v="11"/>
    <n v="15000"/>
    <n v="5"/>
    <n v="156750"/>
    <n v="0.2982456140350877"/>
    <n v="10000"/>
    <n v="110000"/>
    <n v="46750"/>
    <x v="0"/>
    <s v="High Value"/>
    <x v="5"/>
    <x v="2"/>
    <s v="2024-08-02"/>
  </r>
  <r>
    <s v="ORD-1199"/>
    <d v="2024-08-27T00:00:00"/>
    <x v="11"/>
    <x v="3"/>
    <x v="0"/>
    <x v="9"/>
    <x v="3"/>
    <x v="4"/>
    <x v="17"/>
    <n v="3"/>
    <n v="800"/>
    <n v="15"/>
    <n v="2040"/>
    <n v="0.11764705882352941"/>
    <n v="600"/>
    <n v="1800"/>
    <n v="240"/>
    <x v="1"/>
    <s v="Standard"/>
    <x v="2"/>
    <x v="1"/>
    <s v="2024-08-27"/>
  </r>
  <r>
    <s v="ORD-1200"/>
    <d v="2024-06-29T00:00:00"/>
    <x v="2"/>
    <x v="1"/>
    <x v="0"/>
    <x v="8"/>
    <x v="0"/>
    <x v="0"/>
    <x v="6"/>
    <n v="20"/>
    <n v="12000"/>
    <n v="25"/>
    <n v="180000"/>
    <n v="0.1111111111111111"/>
    <n v="8000"/>
    <n v="160000"/>
    <n v="20000"/>
    <x v="1"/>
    <s v="Standard"/>
    <x v="4"/>
    <x v="1"/>
    <s v="2024-06-29"/>
  </r>
  <r>
    <s v="ORD-1201"/>
    <d v="2024-02-25T00:00:00"/>
    <x v="6"/>
    <x v="2"/>
    <x v="0"/>
    <x v="5"/>
    <x v="2"/>
    <x v="0"/>
    <x v="21"/>
    <n v="13"/>
    <n v="5000"/>
    <n v="10"/>
    <n v="58500"/>
    <n v="0.33333333333333331"/>
    <n v="3000"/>
    <n v="39000"/>
    <n v="19500"/>
    <x v="0"/>
    <s v="Standard"/>
    <x v="5"/>
    <x v="1"/>
    <s v="2024-02-25"/>
  </r>
  <r>
    <s v="ORD-1202"/>
    <d v="2024-10-14T00:00:00"/>
    <x v="1"/>
    <x v="0"/>
    <x v="0"/>
    <x v="1"/>
    <x v="4"/>
    <x v="3"/>
    <x v="10"/>
    <n v="3"/>
    <n v="1500"/>
    <n v="15"/>
    <n v="3825"/>
    <n v="0.37254901960784315"/>
    <n v="800"/>
    <n v="2400"/>
    <n v="1425"/>
    <x v="1"/>
    <s v="Standard"/>
    <x v="1"/>
    <x v="1"/>
    <s v="2024-10-14"/>
  </r>
  <r>
    <s v="ORD-1203"/>
    <d v="2024-11-15T00:00:00"/>
    <x v="0"/>
    <x v="0"/>
    <x v="0"/>
    <x v="3"/>
    <x v="7"/>
    <x v="2"/>
    <x v="23"/>
    <n v="13"/>
    <n v="2500"/>
    <n v="10"/>
    <n v="29250"/>
    <n v="0.46666666666666667"/>
    <n v="1200"/>
    <n v="15600"/>
    <n v="13650"/>
    <x v="1"/>
    <s v="Standard"/>
    <x v="1"/>
    <x v="4"/>
    <s v="2024-11-15"/>
  </r>
  <r>
    <s v="ORD-1204"/>
    <d v="2024-03-14T00:00:00"/>
    <x v="5"/>
    <x v="2"/>
    <x v="0"/>
    <x v="1"/>
    <x v="1"/>
    <x v="3"/>
    <x v="9"/>
    <n v="2"/>
    <n v="4000"/>
    <n v="0"/>
    <n v="8000"/>
    <n v="0.375"/>
    <n v="2500"/>
    <n v="5000"/>
    <n v="3000"/>
    <x v="0"/>
    <s v="Standard"/>
    <x v="0"/>
    <x v="1"/>
    <s v="2024-03-14"/>
  </r>
  <r>
    <s v="ORD-1205"/>
    <d v="2024-08-30T00:00:00"/>
    <x v="11"/>
    <x v="3"/>
    <x v="0"/>
    <x v="4"/>
    <x v="6"/>
    <x v="2"/>
    <x v="11"/>
    <n v="17"/>
    <n v="4500"/>
    <n v="5"/>
    <n v="72675"/>
    <n v="0.41520467836257308"/>
    <n v="2500"/>
    <n v="42500"/>
    <n v="30175"/>
    <x v="1"/>
    <s v="High Value"/>
    <x v="1"/>
    <x v="1"/>
    <s v="2024-08-30"/>
  </r>
  <r>
    <s v="ORD-1206"/>
    <d v="2024-07-20T00:00:00"/>
    <x v="9"/>
    <x v="3"/>
    <x v="0"/>
    <x v="3"/>
    <x v="3"/>
    <x v="3"/>
    <x v="10"/>
    <n v="17"/>
    <n v="1500"/>
    <n v="20"/>
    <n v="20400"/>
    <n v="0.33333333333333331"/>
    <n v="800"/>
    <n v="13600"/>
    <n v="6800"/>
    <x v="1"/>
    <s v="Standard"/>
    <x v="0"/>
    <x v="1"/>
    <s v="2024-07-20"/>
  </r>
  <r>
    <s v="ORD-1207"/>
    <d v="2024-08-31T00:00:00"/>
    <x v="11"/>
    <x v="3"/>
    <x v="0"/>
    <x v="8"/>
    <x v="4"/>
    <x v="0"/>
    <x v="7"/>
    <n v="14"/>
    <n v="18000"/>
    <n v="20"/>
    <n v="201600"/>
    <n v="0.16666666666666666"/>
    <n v="12000"/>
    <n v="168000"/>
    <n v="33600"/>
    <x v="1"/>
    <s v="Standard"/>
    <x v="0"/>
    <x v="3"/>
    <s v="2024-08-31"/>
  </r>
  <r>
    <s v="ORD-1208"/>
    <d v="2024-11-18T00:00:00"/>
    <x v="0"/>
    <x v="0"/>
    <x v="0"/>
    <x v="8"/>
    <x v="6"/>
    <x v="0"/>
    <x v="19"/>
    <n v="19"/>
    <n v="15000"/>
    <n v="5"/>
    <n v="270750"/>
    <n v="0.2982456140350877"/>
    <n v="10000"/>
    <n v="190000"/>
    <n v="80750"/>
    <x v="0"/>
    <s v="High Value"/>
    <x v="1"/>
    <x v="1"/>
    <s v="2024-11-18"/>
  </r>
  <r>
    <s v="ORD-1209"/>
    <d v="2024-09-25T00:00:00"/>
    <x v="8"/>
    <x v="3"/>
    <x v="0"/>
    <x v="3"/>
    <x v="1"/>
    <x v="2"/>
    <x v="20"/>
    <n v="2"/>
    <n v="3500"/>
    <n v="20"/>
    <n v="5600"/>
    <n v="0.35714285714285715"/>
    <n v="1800"/>
    <n v="3600"/>
    <n v="2000"/>
    <x v="0"/>
    <s v="Standard"/>
    <x v="2"/>
    <x v="1"/>
    <s v="2024-09-25"/>
  </r>
  <r>
    <s v="ORD-1210"/>
    <d v="2024-06-09T00:00:00"/>
    <x v="2"/>
    <x v="1"/>
    <x v="0"/>
    <x v="5"/>
    <x v="2"/>
    <x v="4"/>
    <x v="22"/>
    <n v="14"/>
    <n v="1500"/>
    <n v="20"/>
    <n v="16800"/>
    <n v="8.3333333333333329E-2"/>
    <n v="1100"/>
    <n v="15400"/>
    <n v="1400"/>
    <x v="1"/>
    <s v="Standard"/>
    <x v="0"/>
    <x v="0"/>
    <s v="2024-06-09"/>
  </r>
  <r>
    <s v="ORD-1211"/>
    <d v="2024-12-27T00:00:00"/>
    <x v="7"/>
    <x v="0"/>
    <x v="0"/>
    <x v="6"/>
    <x v="5"/>
    <x v="3"/>
    <x v="10"/>
    <n v="16"/>
    <n v="1500"/>
    <n v="20"/>
    <n v="19200"/>
    <n v="0.33333333333333331"/>
    <n v="800"/>
    <n v="12800"/>
    <n v="6400"/>
    <x v="1"/>
    <s v="Standard"/>
    <x v="4"/>
    <x v="4"/>
    <s v="2024-12-27"/>
  </r>
  <r>
    <s v="ORD-1212"/>
    <d v="2024-08-23T00:00:00"/>
    <x v="11"/>
    <x v="3"/>
    <x v="0"/>
    <x v="4"/>
    <x v="4"/>
    <x v="3"/>
    <x v="10"/>
    <n v="9"/>
    <n v="1500"/>
    <n v="20"/>
    <n v="10800"/>
    <n v="0.33333333333333331"/>
    <n v="800"/>
    <n v="7200"/>
    <n v="3600"/>
    <x v="1"/>
    <s v="Standard"/>
    <x v="2"/>
    <x v="4"/>
    <s v="2024-08-23"/>
  </r>
  <r>
    <s v="ORD-1213"/>
    <d v="2024-05-22T00:00:00"/>
    <x v="4"/>
    <x v="1"/>
    <x v="0"/>
    <x v="4"/>
    <x v="3"/>
    <x v="2"/>
    <x v="3"/>
    <n v="10"/>
    <n v="3000"/>
    <n v="25"/>
    <n v="22500"/>
    <n v="0.33333333333333331"/>
    <n v="1500"/>
    <n v="15000"/>
    <n v="7500"/>
    <x v="0"/>
    <s v="Standard"/>
    <x v="0"/>
    <x v="0"/>
    <s v="2024-05-22"/>
  </r>
  <r>
    <s v="ORD-1214"/>
    <d v="2024-06-11T00:00:00"/>
    <x v="2"/>
    <x v="1"/>
    <x v="0"/>
    <x v="9"/>
    <x v="4"/>
    <x v="3"/>
    <x v="10"/>
    <n v="10"/>
    <n v="1500"/>
    <n v="0"/>
    <n v="15000"/>
    <n v="0.46666666666666667"/>
    <n v="800"/>
    <n v="8000"/>
    <n v="7000"/>
    <x v="1"/>
    <s v="Standard"/>
    <x v="5"/>
    <x v="3"/>
    <s v="2024-06-11"/>
  </r>
  <r>
    <s v="ORD-1215"/>
    <d v="2024-03-15T00:00:00"/>
    <x v="5"/>
    <x v="2"/>
    <x v="0"/>
    <x v="2"/>
    <x v="0"/>
    <x v="0"/>
    <x v="7"/>
    <n v="12"/>
    <n v="18000"/>
    <n v="15"/>
    <n v="183600"/>
    <n v="0.21568627450980393"/>
    <n v="12000"/>
    <n v="144000"/>
    <n v="39600"/>
    <x v="1"/>
    <s v="Standard"/>
    <x v="0"/>
    <x v="1"/>
    <s v="2024-03-15"/>
  </r>
  <r>
    <s v="ORD-1216"/>
    <d v="2024-04-13T00:00:00"/>
    <x v="3"/>
    <x v="1"/>
    <x v="0"/>
    <x v="4"/>
    <x v="3"/>
    <x v="3"/>
    <x v="10"/>
    <n v="5"/>
    <n v="1500"/>
    <n v="0"/>
    <n v="7500"/>
    <n v="0.46666666666666667"/>
    <n v="800"/>
    <n v="4000"/>
    <n v="3500"/>
    <x v="0"/>
    <s v="Standard"/>
    <x v="2"/>
    <x v="1"/>
    <s v="2024-04-13"/>
  </r>
  <r>
    <s v="ORD-1217"/>
    <d v="2024-09-28T00:00:00"/>
    <x v="8"/>
    <x v="3"/>
    <x v="0"/>
    <x v="1"/>
    <x v="5"/>
    <x v="1"/>
    <x v="1"/>
    <n v="14"/>
    <n v="25000"/>
    <n v="10"/>
    <n v="315000"/>
    <n v="0.2"/>
    <n v="18000"/>
    <n v="252000"/>
    <n v="63000"/>
    <x v="1"/>
    <s v="Standard"/>
    <x v="3"/>
    <x v="0"/>
    <s v="2024-09-28"/>
  </r>
  <r>
    <s v="ORD-1218"/>
    <d v="2024-03-11T00:00:00"/>
    <x v="5"/>
    <x v="2"/>
    <x v="0"/>
    <x v="8"/>
    <x v="2"/>
    <x v="4"/>
    <x v="15"/>
    <n v="16"/>
    <n v="700"/>
    <n v="25"/>
    <n v="8400"/>
    <n v="4.7619047619047616E-2"/>
    <n v="500"/>
    <n v="8000"/>
    <n v="400"/>
    <x v="0"/>
    <s v="Standard"/>
    <x v="4"/>
    <x v="1"/>
    <s v="2024-03-11"/>
  </r>
  <r>
    <s v="ORD-1219"/>
    <d v="2024-11-26T00:00:00"/>
    <x v="0"/>
    <x v="0"/>
    <x v="0"/>
    <x v="8"/>
    <x v="7"/>
    <x v="3"/>
    <x v="5"/>
    <n v="18"/>
    <n v="2000"/>
    <n v="25"/>
    <n v="27000"/>
    <n v="0.2"/>
    <n v="1200"/>
    <n v="21600"/>
    <n v="5400"/>
    <x v="0"/>
    <s v="Standard"/>
    <x v="2"/>
    <x v="1"/>
    <s v="2024-11-26"/>
  </r>
  <r>
    <s v="ORD-1220"/>
    <d v="2024-03-31T00:00:00"/>
    <x v="5"/>
    <x v="2"/>
    <x v="0"/>
    <x v="8"/>
    <x v="1"/>
    <x v="4"/>
    <x v="22"/>
    <n v="10"/>
    <n v="1500"/>
    <n v="0"/>
    <n v="15000"/>
    <n v="0.26666666666666666"/>
    <n v="1100"/>
    <n v="11000"/>
    <n v="4000"/>
    <x v="0"/>
    <s v="Standard"/>
    <x v="4"/>
    <x v="1"/>
    <s v="2024-03-31"/>
  </r>
  <r>
    <s v="ORD-1221"/>
    <d v="2024-02-24T00:00:00"/>
    <x v="6"/>
    <x v="2"/>
    <x v="0"/>
    <x v="7"/>
    <x v="3"/>
    <x v="4"/>
    <x v="12"/>
    <n v="17"/>
    <n v="1200"/>
    <n v="15"/>
    <n v="17340"/>
    <n v="0.11764705882352941"/>
    <n v="900"/>
    <n v="15300"/>
    <n v="2040"/>
    <x v="0"/>
    <s v="Standard"/>
    <x v="1"/>
    <x v="1"/>
    <s v="2024-02-24"/>
  </r>
  <r>
    <s v="ORD-1222"/>
    <d v="2024-04-08T00:00:00"/>
    <x v="3"/>
    <x v="1"/>
    <x v="0"/>
    <x v="0"/>
    <x v="4"/>
    <x v="2"/>
    <x v="2"/>
    <n v="9"/>
    <n v="6000"/>
    <n v="25"/>
    <n v="40500"/>
    <n v="0.22222222222222221"/>
    <n v="3500"/>
    <n v="31500"/>
    <n v="9000"/>
    <x v="0"/>
    <s v="Standard"/>
    <x v="3"/>
    <x v="0"/>
    <s v="2024-04-08"/>
  </r>
  <r>
    <s v="ORD-1223"/>
    <d v="2024-05-31T00:00:00"/>
    <x v="4"/>
    <x v="1"/>
    <x v="0"/>
    <x v="3"/>
    <x v="5"/>
    <x v="2"/>
    <x v="11"/>
    <n v="13"/>
    <n v="4500"/>
    <n v="15"/>
    <n v="49725"/>
    <n v="0.34640522875816993"/>
    <n v="2500"/>
    <n v="32500"/>
    <n v="17225"/>
    <x v="1"/>
    <s v="Standard"/>
    <x v="3"/>
    <x v="1"/>
    <s v="2024-05-31"/>
  </r>
  <r>
    <s v="ORD-1224"/>
    <d v="2024-02-18T00:00:00"/>
    <x v="6"/>
    <x v="2"/>
    <x v="0"/>
    <x v="6"/>
    <x v="2"/>
    <x v="4"/>
    <x v="13"/>
    <n v="8"/>
    <n v="400"/>
    <n v="0"/>
    <n v="3200"/>
    <n v="0.3"/>
    <n v="280"/>
    <n v="2240"/>
    <n v="960"/>
    <x v="1"/>
    <s v="Standard"/>
    <x v="5"/>
    <x v="1"/>
    <s v="2024-02-18"/>
  </r>
  <r>
    <s v="ORD-1225"/>
    <d v="2024-05-16T00:00:00"/>
    <x v="4"/>
    <x v="1"/>
    <x v="0"/>
    <x v="7"/>
    <x v="3"/>
    <x v="3"/>
    <x v="14"/>
    <n v="1"/>
    <n v="1200"/>
    <n v="10"/>
    <n v="1080"/>
    <n v="0.35185185185185186"/>
    <n v="700"/>
    <n v="700"/>
    <n v="380"/>
    <x v="1"/>
    <s v="Standard"/>
    <x v="0"/>
    <x v="1"/>
    <s v="2024-05-16"/>
  </r>
  <r>
    <s v="ORD-1226"/>
    <d v="2024-12-07T00:00:00"/>
    <x v="7"/>
    <x v="0"/>
    <x v="0"/>
    <x v="0"/>
    <x v="6"/>
    <x v="0"/>
    <x v="0"/>
    <n v="13"/>
    <n v="3500"/>
    <n v="25"/>
    <n v="34125"/>
    <n v="0.23809523809523808"/>
    <n v="2000"/>
    <n v="26000"/>
    <n v="8125"/>
    <x v="1"/>
    <s v="Standard"/>
    <x v="0"/>
    <x v="1"/>
    <s v="2024-12-07"/>
  </r>
  <r>
    <s v="ORD-1227"/>
    <d v="2024-05-31T00:00:00"/>
    <x v="4"/>
    <x v="1"/>
    <x v="0"/>
    <x v="7"/>
    <x v="5"/>
    <x v="2"/>
    <x v="20"/>
    <n v="16"/>
    <n v="3500"/>
    <n v="5"/>
    <n v="53200"/>
    <n v="0.45864661654135336"/>
    <n v="1800"/>
    <n v="28800"/>
    <n v="24400"/>
    <x v="1"/>
    <s v="High Value"/>
    <x v="0"/>
    <x v="2"/>
    <s v="2024-05-31"/>
  </r>
  <r>
    <s v="ORD-1228"/>
    <d v="2024-07-10T00:00:00"/>
    <x v="9"/>
    <x v="3"/>
    <x v="0"/>
    <x v="5"/>
    <x v="6"/>
    <x v="3"/>
    <x v="5"/>
    <n v="8"/>
    <n v="2000"/>
    <n v="25"/>
    <n v="12000"/>
    <n v="0.2"/>
    <n v="1200"/>
    <n v="9600"/>
    <n v="2400"/>
    <x v="0"/>
    <s v="Standard"/>
    <x v="1"/>
    <x v="1"/>
    <s v="2024-07-10"/>
  </r>
  <r>
    <s v="ORD-1229"/>
    <d v="2024-12-26T00:00:00"/>
    <x v="7"/>
    <x v="0"/>
    <x v="0"/>
    <x v="7"/>
    <x v="7"/>
    <x v="3"/>
    <x v="9"/>
    <n v="2"/>
    <n v="4000"/>
    <n v="20"/>
    <n v="6400"/>
    <n v="0.21875"/>
    <n v="2500"/>
    <n v="5000"/>
    <n v="1400"/>
    <x v="0"/>
    <s v="Standard"/>
    <x v="1"/>
    <x v="1"/>
    <s v="2024-12-26"/>
  </r>
  <r>
    <s v="ORD-1230"/>
    <d v="2024-03-25T00:00:00"/>
    <x v="5"/>
    <x v="2"/>
    <x v="0"/>
    <x v="7"/>
    <x v="6"/>
    <x v="1"/>
    <x v="16"/>
    <n v="19"/>
    <n v="85000"/>
    <n v="15"/>
    <n v="1372750"/>
    <n v="0.10034602076124567"/>
    <n v="65000"/>
    <n v="1235000"/>
    <n v="137750"/>
    <x v="0"/>
    <s v="Standard"/>
    <x v="1"/>
    <x v="1"/>
    <s v="2024-03-25"/>
  </r>
  <r>
    <s v="ORD-1231"/>
    <d v="2024-01-29T00:00:00"/>
    <x v="10"/>
    <x v="2"/>
    <x v="0"/>
    <x v="9"/>
    <x v="2"/>
    <x v="3"/>
    <x v="8"/>
    <n v="15"/>
    <n v="8000"/>
    <n v="20"/>
    <n v="96000"/>
    <n v="0.21875"/>
    <n v="5000"/>
    <n v="75000"/>
    <n v="21000"/>
    <x v="0"/>
    <s v="Standard"/>
    <x v="1"/>
    <x v="1"/>
    <s v="2024-01-29"/>
  </r>
  <r>
    <s v="ORD-1232"/>
    <d v="2024-06-06T00:00:00"/>
    <x v="2"/>
    <x v="1"/>
    <x v="0"/>
    <x v="8"/>
    <x v="1"/>
    <x v="0"/>
    <x v="7"/>
    <n v="7"/>
    <n v="18000"/>
    <n v="20"/>
    <n v="100800"/>
    <n v="0.16666666666666666"/>
    <n v="12000"/>
    <n v="84000"/>
    <n v="16800"/>
    <x v="0"/>
    <s v="Standard"/>
    <x v="3"/>
    <x v="1"/>
    <s v="2024-06-06"/>
  </r>
  <r>
    <s v="ORD-1233"/>
    <d v="2024-12-24T00:00:00"/>
    <x v="7"/>
    <x v="0"/>
    <x v="0"/>
    <x v="0"/>
    <x v="0"/>
    <x v="1"/>
    <x v="4"/>
    <n v="2"/>
    <n v="5000"/>
    <n v="10"/>
    <n v="9000"/>
    <n v="0.33333333333333331"/>
    <n v="3000"/>
    <n v="6000"/>
    <n v="3000"/>
    <x v="1"/>
    <s v="Standard"/>
    <x v="2"/>
    <x v="3"/>
    <s v="2024-12-24"/>
  </r>
  <r>
    <s v="ORD-1234"/>
    <d v="2024-11-24T00:00:00"/>
    <x v="0"/>
    <x v="0"/>
    <x v="0"/>
    <x v="5"/>
    <x v="4"/>
    <x v="4"/>
    <x v="15"/>
    <n v="13"/>
    <n v="700"/>
    <n v="15"/>
    <n v="7735"/>
    <n v="0.15966386554621848"/>
    <n v="500"/>
    <n v="6500"/>
    <n v="1235"/>
    <x v="0"/>
    <s v="Standard"/>
    <x v="0"/>
    <x v="4"/>
    <s v="2024-11-24"/>
  </r>
  <r>
    <s v="ORD-1235"/>
    <d v="2024-10-03T00:00:00"/>
    <x v="1"/>
    <x v="0"/>
    <x v="0"/>
    <x v="6"/>
    <x v="4"/>
    <x v="1"/>
    <x v="16"/>
    <n v="18"/>
    <n v="85000"/>
    <n v="15"/>
    <n v="1300500"/>
    <n v="0.10034602076124567"/>
    <n v="65000"/>
    <n v="1170000"/>
    <n v="130500"/>
    <x v="0"/>
    <s v="Standard"/>
    <x v="0"/>
    <x v="2"/>
    <s v="2024-10-03"/>
  </r>
  <r>
    <s v="ORD-1236"/>
    <d v="2024-01-02T00:00:00"/>
    <x v="10"/>
    <x v="2"/>
    <x v="0"/>
    <x v="8"/>
    <x v="3"/>
    <x v="4"/>
    <x v="12"/>
    <n v="14"/>
    <n v="1200"/>
    <n v="20"/>
    <n v="13440"/>
    <n v="6.25E-2"/>
    <n v="900"/>
    <n v="12600"/>
    <n v="840"/>
    <x v="1"/>
    <s v="Standard"/>
    <x v="2"/>
    <x v="1"/>
    <s v="2024-01-02"/>
  </r>
  <r>
    <s v="ORD-1237"/>
    <d v="2024-06-26T00:00:00"/>
    <x v="2"/>
    <x v="1"/>
    <x v="0"/>
    <x v="6"/>
    <x v="3"/>
    <x v="2"/>
    <x v="23"/>
    <n v="2"/>
    <n v="2500"/>
    <n v="25"/>
    <n v="3750"/>
    <n v="0.36"/>
    <n v="1200"/>
    <n v="2400"/>
    <n v="1350"/>
    <x v="1"/>
    <s v="Standard"/>
    <x v="1"/>
    <x v="3"/>
    <s v="2024-06-26"/>
  </r>
  <r>
    <s v="ORD-1238"/>
    <d v="2024-01-09T00:00:00"/>
    <x v="10"/>
    <x v="2"/>
    <x v="0"/>
    <x v="1"/>
    <x v="5"/>
    <x v="1"/>
    <x v="1"/>
    <n v="20"/>
    <n v="25000"/>
    <n v="0"/>
    <n v="500000"/>
    <n v="0.28000000000000003"/>
    <n v="18000"/>
    <n v="360000"/>
    <n v="140000"/>
    <x v="1"/>
    <s v="High Value"/>
    <x v="1"/>
    <x v="0"/>
    <s v="2024-01-09"/>
  </r>
  <r>
    <s v="ORD-1239"/>
    <d v="2024-01-25T00:00:00"/>
    <x v="10"/>
    <x v="2"/>
    <x v="0"/>
    <x v="1"/>
    <x v="0"/>
    <x v="4"/>
    <x v="15"/>
    <n v="8"/>
    <n v="700"/>
    <n v="20"/>
    <n v="4480"/>
    <n v="0.10714285714285714"/>
    <n v="500"/>
    <n v="4000"/>
    <n v="480"/>
    <x v="0"/>
    <s v="Standard"/>
    <x v="3"/>
    <x v="1"/>
    <s v="2024-01-25"/>
  </r>
  <r>
    <s v="ORD-1240"/>
    <d v="2024-05-28T00:00:00"/>
    <x v="4"/>
    <x v="1"/>
    <x v="0"/>
    <x v="1"/>
    <x v="4"/>
    <x v="3"/>
    <x v="14"/>
    <n v="11"/>
    <n v="1200"/>
    <n v="5"/>
    <n v="12540"/>
    <n v="0.38596491228070173"/>
    <n v="700"/>
    <n v="7700"/>
    <n v="4840"/>
    <x v="1"/>
    <s v="Standard"/>
    <x v="2"/>
    <x v="2"/>
    <s v="2024-05-28"/>
  </r>
  <r>
    <s v="ORD-1241"/>
    <d v="2024-09-23T00:00:00"/>
    <x v="8"/>
    <x v="3"/>
    <x v="0"/>
    <x v="1"/>
    <x v="1"/>
    <x v="0"/>
    <x v="21"/>
    <n v="2"/>
    <n v="5000"/>
    <n v="20"/>
    <n v="8000"/>
    <n v="0.25"/>
    <n v="3000"/>
    <n v="6000"/>
    <n v="2000"/>
    <x v="0"/>
    <s v="Standard"/>
    <x v="0"/>
    <x v="0"/>
    <s v="2024-09-23"/>
  </r>
  <r>
    <s v="ORD-1242"/>
    <d v="2024-10-11T00:00:00"/>
    <x v="1"/>
    <x v="0"/>
    <x v="0"/>
    <x v="9"/>
    <x v="0"/>
    <x v="0"/>
    <x v="6"/>
    <n v="17"/>
    <n v="12000"/>
    <n v="10"/>
    <n v="183600"/>
    <n v="0.25925925925925924"/>
    <n v="8000"/>
    <n v="136000"/>
    <n v="47600"/>
    <x v="1"/>
    <s v="Standard"/>
    <x v="5"/>
    <x v="1"/>
    <s v="2024-10-11"/>
  </r>
  <r>
    <s v="ORD-1243"/>
    <d v="2024-07-11T00:00:00"/>
    <x v="9"/>
    <x v="3"/>
    <x v="0"/>
    <x v="6"/>
    <x v="6"/>
    <x v="2"/>
    <x v="20"/>
    <n v="10"/>
    <n v="3500"/>
    <n v="25"/>
    <n v="26250"/>
    <n v="0.31428571428571428"/>
    <n v="1800"/>
    <n v="18000"/>
    <n v="8250"/>
    <x v="0"/>
    <s v="Standard"/>
    <x v="5"/>
    <x v="4"/>
    <s v="2024-07-11"/>
  </r>
  <r>
    <s v="ORD-1244"/>
    <d v="2024-10-14T00:00:00"/>
    <x v="1"/>
    <x v="0"/>
    <x v="0"/>
    <x v="5"/>
    <x v="1"/>
    <x v="3"/>
    <x v="14"/>
    <n v="5"/>
    <n v="1200"/>
    <n v="15"/>
    <n v="5100"/>
    <n v="0.31372549019607843"/>
    <n v="700"/>
    <n v="3500"/>
    <n v="1600"/>
    <x v="0"/>
    <s v="Standard"/>
    <x v="4"/>
    <x v="1"/>
    <s v="2024-10-14"/>
  </r>
  <r>
    <s v="ORD-1245"/>
    <d v="2024-11-27T00:00:00"/>
    <x v="0"/>
    <x v="0"/>
    <x v="0"/>
    <x v="0"/>
    <x v="6"/>
    <x v="0"/>
    <x v="7"/>
    <n v="18"/>
    <n v="18000"/>
    <n v="25"/>
    <n v="243000"/>
    <n v="0.1111111111111111"/>
    <n v="12000"/>
    <n v="216000"/>
    <n v="27000"/>
    <x v="0"/>
    <s v="Standard"/>
    <x v="3"/>
    <x v="1"/>
    <s v="2024-11-27"/>
  </r>
  <r>
    <s v="ORD-1246"/>
    <d v="2024-12-10T00:00:00"/>
    <x v="7"/>
    <x v="0"/>
    <x v="0"/>
    <x v="3"/>
    <x v="0"/>
    <x v="1"/>
    <x v="16"/>
    <n v="19"/>
    <n v="85000"/>
    <n v="25"/>
    <n v="1211250"/>
    <n v="-1.9607843137254902E-2"/>
    <n v="65000"/>
    <n v="1235000"/>
    <n v="-23750"/>
    <x v="0"/>
    <s v="Standard"/>
    <x v="5"/>
    <x v="1"/>
    <s v="2024-12-10"/>
  </r>
  <r>
    <s v="ORD-1247"/>
    <d v="2024-06-19T00:00:00"/>
    <x v="2"/>
    <x v="1"/>
    <x v="0"/>
    <x v="2"/>
    <x v="0"/>
    <x v="2"/>
    <x v="20"/>
    <n v="4"/>
    <n v="3500"/>
    <n v="25"/>
    <n v="10500"/>
    <n v="0.31428571428571428"/>
    <n v="1800"/>
    <n v="7200"/>
    <n v="3300"/>
    <x v="1"/>
    <s v="Standard"/>
    <x v="2"/>
    <x v="0"/>
    <s v="2024-06-19"/>
  </r>
  <r>
    <s v="ORD-1248"/>
    <d v="2024-12-26T00:00:00"/>
    <x v="7"/>
    <x v="0"/>
    <x v="0"/>
    <x v="1"/>
    <x v="1"/>
    <x v="2"/>
    <x v="11"/>
    <n v="11"/>
    <n v="4500"/>
    <n v="10"/>
    <n v="44550"/>
    <n v="0.38271604938271603"/>
    <n v="2500"/>
    <n v="27500"/>
    <n v="17050"/>
    <x v="1"/>
    <s v="Standard"/>
    <x v="5"/>
    <x v="1"/>
    <s v="2024-12-26"/>
  </r>
  <r>
    <s v="ORD-1249"/>
    <d v="2024-07-02T00:00:00"/>
    <x v="9"/>
    <x v="3"/>
    <x v="0"/>
    <x v="2"/>
    <x v="3"/>
    <x v="0"/>
    <x v="19"/>
    <n v="16"/>
    <n v="15000"/>
    <n v="15"/>
    <n v="204000"/>
    <n v="0.21568627450980393"/>
    <n v="10000"/>
    <n v="160000"/>
    <n v="44000"/>
    <x v="0"/>
    <s v="Standard"/>
    <x v="0"/>
    <x v="1"/>
    <s v="2024-07-02"/>
  </r>
  <r>
    <s v="ORD-1250"/>
    <d v="2024-06-12T00:00:00"/>
    <x v="2"/>
    <x v="1"/>
    <x v="0"/>
    <x v="1"/>
    <x v="4"/>
    <x v="0"/>
    <x v="6"/>
    <n v="2"/>
    <n v="12000"/>
    <n v="20"/>
    <n v="19200"/>
    <n v="0.16666666666666666"/>
    <n v="8000"/>
    <n v="16000"/>
    <n v="3200"/>
    <x v="0"/>
    <s v="Standard"/>
    <x v="0"/>
    <x v="1"/>
    <s v="2024-06-12"/>
  </r>
  <r>
    <s v="ORD-1251"/>
    <d v="2024-05-13T00:00:00"/>
    <x v="4"/>
    <x v="1"/>
    <x v="0"/>
    <x v="4"/>
    <x v="1"/>
    <x v="0"/>
    <x v="0"/>
    <n v="7"/>
    <n v="3500"/>
    <n v="10"/>
    <n v="22050"/>
    <n v="0.36507936507936506"/>
    <n v="2000"/>
    <n v="14000"/>
    <n v="8050"/>
    <x v="0"/>
    <s v="Standard"/>
    <x v="5"/>
    <x v="1"/>
    <s v="2024-05-13"/>
  </r>
  <r>
    <s v="ORD-1252"/>
    <d v="2024-05-05T00:00:00"/>
    <x v="4"/>
    <x v="1"/>
    <x v="0"/>
    <x v="9"/>
    <x v="4"/>
    <x v="0"/>
    <x v="6"/>
    <n v="16"/>
    <n v="12000"/>
    <n v="15"/>
    <n v="163200"/>
    <n v="0.21568627450980393"/>
    <n v="8000"/>
    <n v="128000"/>
    <n v="35200"/>
    <x v="0"/>
    <s v="Standard"/>
    <x v="0"/>
    <x v="3"/>
    <s v="2024-05-05"/>
  </r>
  <r>
    <s v="ORD-1253"/>
    <d v="2024-03-27T00:00:00"/>
    <x v="5"/>
    <x v="2"/>
    <x v="0"/>
    <x v="6"/>
    <x v="6"/>
    <x v="2"/>
    <x v="11"/>
    <n v="2"/>
    <n v="4500"/>
    <n v="20"/>
    <n v="7200"/>
    <n v="0.30555555555555558"/>
    <n v="2500"/>
    <n v="5000"/>
    <n v="2200"/>
    <x v="0"/>
    <s v="Standard"/>
    <x v="3"/>
    <x v="4"/>
    <s v="2024-03-27"/>
  </r>
  <r>
    <s v="ORD-1254"/>
    <d v="2024-12-08T00:00:00"/>
    <x v="7"/>
    <x v="0"/>
    <x v="0"/>
    <x v="8"/>
    <x v="0"/>
    <x v="4"/>
    <x v="22"/>
    <n v="8"/>
    <n v="1500"/>
    <n v="0"/>
    <n v="12000"/>
    <n v="0.26666666666666666"/>
    <n v="1100"/>
    <n v="8800"/>
    <n v="3200"/>
    <x v="0"/>
    <s v="Standard"/>
    <x v="3"/>
    <x v="1"/>
    <s v="2024-12-08"/>
  </r>
  <r>
    <s v="ORD-1255"/>
    <d v="2024-08-21T00:00:00"/>
    <x v="11"/>
    <x v="3"/>
    <x v="0"/>
    <x v="7"/>
    <x v="0"/>
    <x v="3"/>
    <x v="14"/>
    <n v="16"/>
    <n v="1200"/>
    <n v="25"/>
    <n v="14400"/>
    <n v="0.22222222222222221"/>
    <n v="700"/>
    <n v="11200"/>
    <n v="3200"/>
    <x v="1"/>
    <s v="Standard"/>
    <x v="3"/>
    <x v="1"/>
    <s v="2024-08-21"/>
  </r>
  <r>
    <s v="ORD-1256"/>
    <d v="2024-10-09T00:00:00"/>
    <x v="1"/>
    <x v="0"/>
    <x v="0"/>
    <x v="5"/>
    <x v="0"/>
    <x v="1"/>
    <x v="18"/>
    <n v="9"/>
    <n v="15000"/>
    <n v="20"/>
    <n v="108000"/>
    <n v="0.16666666666666666"/>
    <n v="10000"/>
    <n v="90000"/>
    <n v="18000"/>
    <x v="1"/>
    <s v="Standard"/>
    <x v="3"/>
    <x v="1"/>
    <s v="2024-10-09"/>
  </r>
  <r>
    <s v="ORD-1257"/>
    <d v="2024-12-23T00:00:00"/>
    <x v="7"/>
    <x v="0"/>
    <x v="0"/>
    <x v="5"/>
    <x v="2"/>
    <x v="1"/>
    <x v="1"/>
    <n v="17"/>
    <n v="25000"/>
    <n v="5"/>
    <n v="403750"/>
    <n v="0.24210526315789474"/>
    <n v="18000"/>
    <n v="306000"/>
    <n v="97750"/>
    <x v="0"/>
    <s v="High Value"/>
    <x v="2"/>
    <x v="0"/>
    <s v="2024-12-23"/>
  </r>
  <r>
    <s v="ORD-1258"/>
    <d v="2024-05-09T00:00:00"/>
    <x v="4"/>
    <x v="1"/>
    <x v="0"/>
    <x v="7"/>
    <x v="3"/>
    <x v="4"/>
    <x v="17"/>
    <n v="12"/>
    <n v="800"/>
    <n v="15"/>
    <n v="8160"/>
    <n v="0.11764705882352941"/>
    <n v="600"/>
    <n v="7200"/>
    <n v="960"/>
    <x v="1"/>
    <s v="Standard"/>
    <x v="1"/>
    <x v="1"/>
    <s v="2024-05-09"/>
  </r>
  <r>
    <s v="ORD-1259"/>
    <d v="2024-12-22T00:00:00"/>
    <x v="7"/>
    <x v="0"/>
    <x v="0"/>
    <x v="1"/>
    <x v="3"/>
    <x v="1"/>
    <x v="1"/>
    <n v="3"/>
    <n v="25000"/>
    <n v="15"/>
    <n v="63750"/>
    <n v="0.15294117647058825"/>
    <n v="18000"/>
    <n v="54000"/>
    <n v="9750"/>
    <x v="1"/>
    <s v="Standard"/>
    <x v="5"/>
    <x v="1"/>
    <s v="2024-12-22"/>
  </r>
  <r>
    <s v="ORD-1260"/>
    <d v="2024-01-29T00:00:00"/>
    <x v="10"/>
    <x v="2"/>
    <x v="0"/>
    <x v="8"/>
    <x v="2"/>
    <x v="1"/>
    <x v="4"/>
    <n v="14"/>
    <n v="5000"/>
    <n v="25"/>
    <n v="52500"/>
    <n v="0.2"/>
    <n v="3000"/>
    <n v="42000"/>
    <n v="10500"/>
    <x v="1"/>
    <s v="Standard"/>
    <x v="1"/>
    <x v="2"/>
    <s v="2024-01-29"/>
  </r>
  <r>
    <s v="ORD-1261"/>
    <d v="2024-02-18T00:00:00"/>
    <x v="6"/>
    <x v="2"/>
    <x v="0"/>
    <x v="4"/>
    <x v="0"/>
    <x v="2"/>
    <x v="20"/>
    <n v="19"/>
    <n v="3500"/>
    <n v="15"/>
    <n v="56525"/>
    <n v="0.3949579831932773"/>
    <n v="1800"/>
    <n v="34200"/>
    <n v="22325"/>
    <x v="1"/>
    <s v="Standard"/>
    <x v="3"/>
    <x v="4"/>
    <s v="2024-02-18"/>
  </r>
  <r>
    <s v="ORD-1262"/>
    <d v="2024-12-16T00:00:00"/>
    <x v="7"/>
    <x v="0"/>
    <x v="0"/>
    <x v="2"/>
    <x v="0"/>
    <x v="2"/>
    <x v="3"/>
    <n v="1"/>
    <n v="3000"/>
    <n v="5"/>
    <n v="2850"/>
    <n v="0.47368421052631576"/>
    <n v="1500"/>
    <n v="1500"/>
    <n v="1350"/>
    <x v="0"/>
    <s v="Standard"/>
    <x v="0"/>
    <x v="3"/>
    <s v="2024-12-16"/>
  </r>
  <r>
    <s v="ORD-1263"/>
    <d v="2024-02-09T00:00:00"/>
    <x v="6"/>
    <x v="2"/>
    <x v="0"/>
    <x v="2"/>
    <x v="2"/>
    <x v="3"/>
    <x v="5"/>
    <n v="19"/>
    <n v="2000"/>
    <n v="15"/>
    <n v="32300"/>
    <n v="0.29411764705882354"/>
    <n v="1200"/>
    <n v="22800"/>
    <n v="9500"/>
    <x v="1"/>
    <s v="Standard"/>
    <x v="5"/>
    <x v="3"/>
    <s v="2024-02-09"/>
  </r>
  <r>
    <s v="ORD-1264"/>
    <d v="2024-03-12T00:00:00"/>
    <x v="5"/>
    <x v="2"/>
    <x v="0"/>
    <x v="0"/>
    <x v="4"/>
    <x v="1"/>
    <x v="1"/>
    <n v="14"/>
    <n v="25000"/>
    <n v="5"/>
    <n v="332500"/>
    <n v="0.24210526315789474"/>
    <n v="18000"/>
    <n v="252000"/>
    <n v="80500"/>
    <x v="0"/>
    <s v="High Value"/>
    <x v="4"/>
    <x v="0"/>
    <s v="2024-03-12"/>
  </r>
  <r>
    <s v="ORD-1265"/>
    <d v="2024-11-10T00:00:00"/>
    <x v="0"/>
    <x v="0"/>
    <x v="0"/>
    <x v="3"/>
    <x v="1"/>
    <x v="0"/>
    <x v="7"/>
    <n v="9"/>
    <n v="18000"/>
    <n v="15"/>
    <n v="137700"/>
    <n v="0.21568627450980393"/>
    <n v="12000"/>
    <n v="108000"/>
    <n v="29700"/>
    <x v="1"/>
    <s v="Standard"/>
    <x v="2"/>
    <x v="1"/>
    <s v="2024-11-10"/>
  </r>
  <r>
    <s v="ORD-1266"/>
    <d v="2024-07-11T00:00:00"/>
    <x v="9"/>
    <x v="3"/>
    <x v="0"/>
    <x v="5"/>
    <x v="2"/>
    <x v="3"/>
    <x v="8"/>
    <n v="3"/>
    <n v="8000"/>
    <n v="20"/>
    <n v="19200"/>
    <n v="0.21875"/>
    <n v="5000"/>
    <n v="15000"/>
    <n v="4200"/>
    <x v="1"/>
    <s v="Standard"/>
    <x v="2"/>
    <x v="0"/>
    <s v="2024-07-11"/>
  </r>
  <r>
    <s v="ORD-1267"/>
    <d v="2024-02-12T00:00:00"/>
    <x v="6"/>
    <x v="2"/>
    <x v="0"/>
    <x v="2"/>
    <x v="2"/>
    <x v="4"/>
    <x v="22"/>
    <n v="13"/>
    <n v="1500"/>
    <n v="10"/>
    <n v="17550"/>
    <n v="0.18518518518518517"/>
    <n v="1100"/>
    <n v="14300"/>
    <n v="3250"/>
    <x v="1"/>
    <s v="Standard"/>
    <x v="3"/>
    <x v="1"/>
    <s v="2024-02-12"/>
  </r>
  <r>
    <s v="ORD-1268"/>
    <d v="2024-06-06T00:00:00"/>
    <x v="2"/>
    <x v="1"/>
    <x v="0"/>
    <x v="9"/>
    <x v="4"/>
    <x v="0"/>
    <x v="7"/>
    <n v="5"/>
    <n v="18000"/>
    <n v="0"/>
    <n v="90000"/>
    <n v="0.33333333333333331"/>
    <n v="12000"/>
    <n v="60000"/>
    <n v="30000"/>
    <x v="0"/>
    <s v="High Value"/>
    <x v="5"/>
    <x v="1"/>
    <s v="2024-06-06"/>
  </r>
  <r>
    <s v="ORD-1269"/>
    <d v="2024-10-11T00:00:00"/>
    <x v="1"/>
    <x v="0"/>
    <x v="0"/>
    <x v="4"/>
    <x v="1"/>
    <x v="1"/>
    <x v="1"/>
    <n v="3"/>
    <n v="25000"/>
    <n v="10"/>
    <n v="67500"/>
    <n v="0.2"/>
    <n v="18000"/>
    <n v="54000"/>
    <n v="13500"/>
    <x v="0"/>
    <s v="Standard"/>
    <x v="1"/>
    <x v="1"/>
    <s v="2024-10-11"/>
  </r>
  <r>
    <s v="ORD-1270"/>
    <d v="2024-06-15T00:00:00"/>
    <x v="2"/>
    <x v="1"/>
    <x v="0"/>
    <x v="5"/>
    <x v="0"/>
    <x v="0"/>
    <x v="6"/>
    <n v="13"/>
    <n v="12000"/>
    <n v="0"/>
    <n v="156000"/>
    <n v="0.33333333333333331"/>
    <n v="8000"/>
    <n v="104000"/>
    <n v="52000"/>
    <x v="0"/>
    <s v="High Value"/>
    <x v="1"/>
    <x v="1"/>
    <s v="2024-06-15"/>
  </r>
  <r>
    <s v="ORD-1271"/>
    <d v="2024-12-16T00:00:00"/>
    <x v="7"/>
    <x v="0"/>
    <x v="0"/>
    <x v="5"/>
    <x v="2"/>
    <x v="2"/>
    <x v="3"/>
    <n v="10"/>
    <n v="3000"/>
    <n v="10"/>
    <n v="27000"/>
    <n v="0.44444444444444442"/>
    <n v="1500"/>
    <n v="15000"/>
    <n v="12000"/>
    <x v="1"/>
    <s v="Standard"/>
    <x v="2"/>
    <x v="1"/>
    <s v="2024-12-16"/>
  </r>
  <r>
    <s v="ORD-1272"/>
    <d v="2024-08-10T00:00:00"/>
    <x v="11"/>
    <x v="3"/>
    <x v="0"/>
    <x v="2"/>
    <x v="1"/>
    <x v="0"/>
    <x v="6"/>
    <n v="3"/>
    <n v="12000"/>
    <n v="10"/>
    <n v="32400"/>
    <n v="0.25925925925925924"/>
    <n v="8000"/>
    <n v="24000"/>
    <n v="8400"/>
    <x v="1"/>
    <s v="Standard"/>
    <x v="2"/>
    <x v="0"/>
    <s v="2024-08-10"/>
  </r>
  <r>
    <s v="ORD-1273"/>
    <d v="2024-09-10T00:00:00"/>
    <x v="8"/>
    <x v="3"/>
    <x v="0"/>
    <x v="3"/>
    <x v="5"/>
    <x v="4"/>
    <x v="17"/>
    <n v="5"/>
    <n v="800"/>
    <n v="10"/>
    <n v="3600"/>
    <n v="0.16666666666666666"/>
    <n v="600"/>
    <n v="3000"/>
    <n v="600"/>
    <x v="0"/>
    <s v="Standard"/>
    <x v="5"/>
    <x v="1"/>
    <s v="2024-09-10"/>
  </r>
  <r>
    <s v="ORD-1274"/>
    <d v="2024-11-13T00:00:00"/>
    <x v="0"/>
    <x v="0"/>
    <x v="0"/>
    <x v="5"/>
    <x v="4"/>
    <x v="4"/>
    <x v="13"/>
    <n v="14"/>
    <n v="400"/>
    <n v="25"/>
    <n v="4200"/>
    <n v="6.6666666666666666E-2"/>
    <n v="280"/>
    <n v="3920"/>
    <n v="280"/>
    <x v="0"/>
    <s v="Standard"/>
    <x v="4"/>
    <x v="1"/>
    <s v="2024-11-13"/>
  </r>
  <r>
    <s v="ORD-1275"/>
    <d v="2024-12-21T00:00:00"/>
    <x v="7"/>
    <x v="0"/>
    <x v="0"/>
    <x v="1"/>
    <x v="6"/>
    <x v="0"/>
    <x v="0"/>
    <n v="13"/>
    <n v="3500"/>
    <n v="10"/>
    <n v="40950"/>
    <n v="0.36507936507936506"/>
    <n v="2000"/>
    <n v="26000"/>
    <n v="14950"/>
    <x v="1"/>
    <s v="Standard"/>
    <x v="0"/>
    <x v="0"/>
    <s v="2024-12-21"/>
  </r>
  <r>
    <s v="ORD-1276"/>
    <d v="2024-09-08T00:00:00"/>
    <x v="8"/>
    <x v="3"/>
    <x v="0"/>
    <x v="3"/>
    <x v="5"/>
    <x v="0"/>
    <x v="6"/>
    <n v="9"/>
    <n v="12000"/>
    <n v="15"/>
    <n v="91800"/>
    <n v="0.21568627450980393"/>
    <n v="8000"/>
    <n v="72000"/>
    <n v="19800"/>
    <x v="1"/>
    <s v="Standard"/>
    <x v="3"/>
    <x v="4"/>
    <s v="2024-09-08"/>
  </r>
  <r>
    <s v="ORD-1277"/>
    <d v="2024-04-12T00:00:00"/>
    <x v="3"/>
    <x v="1"/>
    <x v="0"/>
    <x v="3"/>
    <x v="2"/>
    <x v="3"/>
    <x v="9"/>
    <n v="15"/>
    <n v="4000"/>
    <n v="25"/>
    <n v="45000"/>
    <n v="0.16666666666666666"/>
    <n v="2500"/>
    <n v="37500"/>
    <n v="7500"/>
    <x v="0"/>
    <s v="Standard"/>
    <x v="5"/>
    <x v="3"/>
    <s v="2024-04-12"/>
  </r>
  <r>
    <s v="ORD-1278"/>
    <d v="2024-12-20T00:00:00"/>
    <x v="7"/>
    <x v="0"/>
    <x v="0"/>
    <x v="0"/>
    <x v="1"/>
    <x v="4"/>
    <x v="22"/>
    <n v="10"/>
    <n v="1500"/>
    <n v="5"/>
    <n v="14250"/>
    <n v="0.22807017543859648"/>
    <n v="1100"/>
    <n v="11000"/>
    <n v="3250"/>
    <x v="1"/>
    <s v="Standard"/>
    <x v="0"/>
    <x v="1"/>
    <s v="2024-12-20"/>
  </r>
  <r>
    <s v="ORD-1279"/>
    <d v="2024-08-04T00:00:00"/>
    <x v="11"/>
    <x v="3"/>
    <x v="0"/>
    <x v="5"/>
    <x v="7"/>
    <x v="4"/>
    <x v="12"/>
    <n v="16"/>
    <n v="1200"/>
    <n v="20"/>
    <n v="15360"/>
    <n v="6.25E-2"/>
    <n v="900"/>
    <n v="14400"/>
    <n v="960"/>
    <x v="1"/>
    <s v="Standard"/>
    <x v="1"/>
    <x v="1"/>
    <s v="2024-08-04"/>
  </r>
  <r>
    <s v="ORD-1280"/>
    <d v="2024-12-20T00:00:00"/>
    <x v="7"/>
    <x v="0"/>
    <x v="0"/>
    <x v="5"/>
    <x v="0"/>
    <x v="0"/>
    <x v="19"/>
    <n v="20"/>
    <n v="15000"/>
    <n v="25"/>
    <n v="225000"/>
    <n v="0.1111111111111111"/>
    <n v="10000"/>
    <n v="200000"/>
    <n v="25000"/>
    <x v="0"/>
    <s v="Standard"/>
    <x v="3"/>
    <x v="3"/>
    <s v="2024-12-20"/>
  </r>
  <r>
    <s v="ORD-1281"/>
    <d v="2024-12-02T00:00:00"/>
    <x v="7"/>
    <x v="0"/>
    <x v="0"/>
    <x v="7"/>
    <x v="2"/>
    <x v="3"/>
    <x v="9"/>
    <n v="19"/>
    <n v="4000"/>
    <n v="25"/>
    <n v="57000"/>
    <n v="0.16666666666666666"/>
    <n v="2500"/>
    <n v="47500"/>
    <n v="9500"/>
    <x v="1"/>
    <s v="Standard"/>
    <x v="4"/>
    <x v="4"/>
    <s v="2024-12-02"/>
  </r>
  <r>
    <s v="ORD-1282"/>
    <d v="2024-08-08T00:00:00"/>
    <x v="11"/>
    <x v="3"/>
    <x v="0"/>
    <x v="0"/>
    <x v="0"/>
    <x v="1"/>
    <x v="24"/>
    <n v="8"/>
    <n v="35000"/>
    <n v="20"/>
    <n v="224000"/>
    <n v="7.1428571428571425E-2"/>
    <n v="26000"/>
    <n v="208000"/>
    <n v="16000"/>
    <x v="0"/>
    <s v="Standard"/>
    <x v="5"/>
    <x v="1"/>
    <s v="2024-08-08"/>
  </r>
  <r>
    <s v="ORD-1283"/>
    <d v="2024-08-25T00:00:00"/>
    <x v="11"/>
    <x v="3"/>
    <x v="0"/>
    <x v="3"/>
    <x v="2"/>
    <x v="0"/>
    <x v="7"/>
    <n v="16"/>
    <n v="18000"/>
    <n v="0"/>
    <n v="288000"/>
    <n v="0.33333333333333331"/>
    <n v="12000"/>
    <n v="192000"/>
    <n v="96000"/>
    <x v="1"/>
    <s v="High Value"/>
    <x v="5"/>
    <x v="4"/>
    <s v="2024-08-25"/>
  </r>
  <r>
    <s v="ORD-1284"/>
    <d v="2024-02-13T00:00:00"/>
    <x v="6"/>
    <x v="2"/>
    <x v="0"/>
    <x v="0"/>
    <x v="2"/>
    <x v="0"/>
    <x v="21"/>
    <n v="11"/>
    <n v="5000"/>
    <n v="15"/>
    <n v="46750"/>
    <n v="0.29411764705882354"/>
    <n v="3000"/>
    <n v="33000"/>
    <n v="13750"/>
    <x v="0"/>
    <s v="Standard"/>
    <x v="1"/>
    <x v="1"/>
    <s v="2024-02-13"/>
  </r>
  <r>
    <s v="ORD-1285"/>
    <d v="2024-08-31T00:00:00"/>
    <x v="11"/>
    <x v="3"/>
    <x v="0"/>
    <x v="0"/>
    <x v="6"/>
    <x v="4"/>
    <x v="13"/>
    <n v="3"/>
    <n v="400"/>
    <n v="10"/>
    <n v="1080"/>
    <n v="0.22222222222222221"/>
    <n v="280"/>
    <n v="840"/>
    <n v="240"/>
    <x v="0"/>
    <s v="Standard"/>
    <x v="0"/>
    <x v="1"/>
    <s v="2024-08-31"/>
  </r>
  <r>
    <s v="ORD-1286"/>
    <d v="2024-06-24T00:00:00"/>
    <x v="2"/>
    <x v="1"/>
    <x v="0"/>
    <x v="0"/>
    <x v="2"/>
    <x v="2"/>
    <x v="11"/>
    <n v="6"/>
    <n v="4500"/>
    <n v="20"/>
    <n v="21600"/>
    <n v="0.30555555555555558"/>
    <n v="2500"/>
    <n v="15000"/>
    <n v="6600"/>
    <x v="0"/>
    <s v="Standard"/>
    <x v="4"/>
    <x v="1"/>
    <s v="2024-06-24"/>
  </r>
  <r>
    <s v="ORD-1287"/>
    <d v="2024-08-24T00:00:00"/>
    <x v="11"/>
    <x v="3"/>
    <x v="0"/>
    <x v="1"/>
    <x v="1"/>
    <x v="2"/>
    <x v="20"/>
    <n v="14"/>
    <n v="3500"/>
    <n v="15"/>
    <n v="41650"/>
    <n v="0.3949579831932773"/>
    <n v="1800"/>
    <n v="25200"/>
    <n v="16450"/>
    <x v="0"/>
    <s v="Standard"/>
    <x v="0"/>
    <x v="0"/>
    <s v="2024-08-24"/>
  </r>
  <r>
    <s v="ORD-1288"/>
    <d v="2024-04-11T00:00:00"/>
    <x v="3"/>
    <x v="1"/>
    <x v="0"/>
    <x v="9"/>
    <x v="1"/>
    <x v="4"/>
    <x v="17"/>
    <n v="7"/>
    <n v="800"/>
    <n v="5"/>
    <n v="5320"/>
    <n v="0.21052631578947367"/>
    <n v="600"/>
    <n v="4200"/>
    <n v="1120"/>
    <x v="1"/>
    <s v="Standard"/>
    <x v="0"/>
    <x v="3"/>
    <s v="2024-04-11"/>
  </r>
  <r>
    <s v="ORD-1289"/>
    <d v="2024-02-02T00:00:00"/>
    <x v="6"/>
    <x v="2"/>
    <x v="0"/>
    <x v="3"/>
    <x v="7"/>
    <x v="3"/>
    <x v="5"/>
    <n v="12"/>
    <n v="2000"/>
    <n v="10"/>
    <n v="21600"/>
    <n v="0.33333333333333331"/>
    <n v="1200"/>
    <n v="14400"/>
    <n v="7200"/>
    <x v="0"/>
    <s v="Standard"/>
    <x v="5"/>
    <x v="1"/>
    <s v="2024-02-02"/>
  </r>
  <r>
    <s v="ORD-1290"/>
    <d v="2024-12-09T00:00:00"/>
    <x v="7"/>
    <x v="0"/>
    <x v="0"/>
    <x v="9"/>
    <x v="4"/>
    <x v="3"/>
    <x v="8"/>
    <n v="20"/>
    <n v="8000"/>
    <n v="15"/>
    <n v="136000"/>
    <n v="0.26470588235294118"/>
    <n v="5000"/>
    <n v="100000"/>
    <n v="36000"/>
    <x v="0"/>
    <s v="Standard"/>
    <x v="4"/>
    <x v="1"/>
    <s v="2024-12-09"/>
  </r>
  <r>
    <s v="ORD-1291"/>
    <d v="2024-08-22T00:00:00"/>
    <x v="11"/>
    <x v="3"/>
    <x v="0"/>
    <x v="3"/>
    <x v="2"/>
    <x v="0"/>
    <x v="19"/>
    <n v="19"/>
    <n v="15000"/>
    <n v="0"/>
    <n v="285000"/>
    <n v="0.33333333333333331"/>
    <n v="10000"/>
    <n v="190000"/>
    <n v="95000"/>
    <x v="0"/>
    <s v="High Value"/>
    <x v="4"/>
    <x v="1"/>
    <s v="2024-08-22"/>
  </r>
  <r>
    <s v="ORD-1292"/>
    <d v="2024-06-05T00:00:00"/>
    <x v="2"/>
    <x v="1"/>
    <x v="0"/>
    <x v="0"/>
    <x v="2"/>
    <x v="0"/>
    <x v="0"/>
    <n v="17"/>
    <n v="3500"/>
    <n v="15"/>
    <n v="50575"/>
    <n v="0.32773109243697479"/>
    <n v="2000"/>
    <n v="34000"/>
    <n v="16575"/>
    <x v="1"/>
    <s v="Standard"/>
    <x v="1"/>
    <x v="1"/>
    <s v="2024-06-05"/>
  </r>
  <r>
    <s v="ORD-1293"/>
    <d v="2024-07-15T00:00:00"/>
    <x v="9"/>
    <x v="3"/>
    <x v="0"/>
    <x v="5"/>
    <x v="2"/>
    <x v="4"/>
    <x v="12"/>
    <n v="6"/>
    <n v="1200"/>
    <n v="20"/>
    <n v="5760"/>
    <n v="6.25E-2"/>
    <n v="900"/>
    <n v="5400"/>
    <n v="360"/>
    <x v="0"/>
    <s v="Standard"/>
    <x v="5"/>
    <x v="1"/>
    <s v="2024-07-15"/>
  </r>
  <r>
    <s v="ORD-1294"/>
    <d v="2024-04-05T00:00:00"/>
    <x v="3"/>
    <x v="1"/>
    <x v="0"/>
    <x v="7"/>
    <x v="6"/>
    <x v="3"/>
    <x v="9"/>
    <n v="12"/>
    <n v="4000"/>
    <n v="0"/>
    <n v="48000"/>
    <n v="0.375"/>
    <n v="2500"/>
    <n v="30000"/>
    <n v="18000"/>
    <x v="1"/>
    <s v="Standard"/>
    <x v="2"/>
    <x v="1"/>
    <s v="2024-04-05"/>
  </r>
  <r>
    <s v="ORD-1295"/>
    <d v="2024-07-15T00:00:00"/>
    <x v="9"/>
    <x v="3"/>
    <x v="0"/>
    <x v="4"/>
    <x v="6"/>
    <x v="4"/>
    <x v="15"/>
    <n v="14"/>
    <n v="700"/>
    <n v="25"/>
    <n v="7350"/>
    <n v="4.7619047619047616E-2"/>
    <n v="500"/>
    <n v="7000"/>
    <n v="350"/>
    <x v="1"/>
    <s v="Standard"/>
    <x v="5"/>
    <x v="1"/>
    <s v="2024-07-15"/>
  </r>
  <r>
    <s v="ORD-1296"/>
    <d v="2024-10-16T00:00:00"/>
    <x v="1"/>
    <x v="0"/>
    <x v="0"/>
    <x v="8"/>
    <x v="5"/>
    <x v="0"/>
    <x v="7"/>
    <n v="9"/>
    <n v="18000"/>
    <n v="5"/>
    <n v="153900"/>
    <n v="0.2982456140350877"/>
    <n v="12000"/>
    <n v="108000"/>
    <n v="45900"/>
    <x v="1"/>
    <s v="High Value"/>
    <x v="2"/>
    <x v="3"/>
    <s v="2024-10-16"/>
  </r>
  <r>
    <s v="ORD-1297"/>
    <d v="2024-10-16T00:00:00"/>
    <x v="1"/>
    <x v="0"/>
    <x v="0"/>
    <x v="9"/>
    <x v="7"/>
    <x v="3"/>
    <x v="9"/>
    <n v="9"/>
    <n v="4000"/>
    <n v="20"/>
    <n v="28800"/>
    <n v="0.21875"/>
    <n v="2500"/>
    <n v="22500"/>
    <n v="6300"/>
    <x v="1"/>
    <s v="Standard"/>
    <x v="1"/>
    <x v="3"/>
    <s v="2024-10-16"/>
  </r>
  <r>
    <s v="ORD-1298"/>
    <d v="2024-01-22T00:00:00"/>
    <x v="10"/>
    <x v="2"/>
    <x v="0"/>
    <x v="9"/>
    <x v="5"/>
    <x v="4"/>
    <x v="17"/>
    <n v="8"/>
    <n v="800"/>
    <n v="10"/>
    <n v="5760"/>
    <n v="0.16666666666666666"/>
    <n v="600"/>
    <n v="4800"/>
    <n v="960"/>
    <x v="0"/>
    <s v="Standard"/>
    <x v="5"/>
    <x v="1"/>
    <s v="2024-01-22"/>
  </r>
  <r>
    <s v="ORD-1299"/>
    <d v="2024-02-14T00:00:00"/>
    <x v="6"/>
    <x v="2"/>
    <x v="0"/>
    <x v="9"/>
    <x v="7"/>
    <x v="2"/>
    <x v="20"/>
    <n v="19"/>
    <n v="3500"/>
    <n v="25"/>
    <n v="49875"/>
    <n v="0.31428571428571428"/>
    <n v="1800"/>
    <n v="34200"/>
    <n v="15675"/>
    <x v="1"/>
    <s v="Standard"/>
    <x v="0"/>
    <x v="0"/>
    <s v="2024-02-14"/>
  </r>
  <r>
    <s v="ORD-1300"/>
    <d v="2024-08-07T00:00:00"/>
    <x v="11"/>
    <x v="3"/>
    <x v="0"/>
    <x v="6"/>
    <x v="2"/>
    <x v="2"/>
    <x v="20"/>
    <n v="2"/>
    <n v="3500"/>
    <n v="20"/>
    <n v="5600"/>
    <n v="0.35714285714285715"/>
    <n v="1800"/>
    <n v="3600"/>
    <n v="2000"/>
    <x v="1"/>
    <s v="Standard"/>
    <x v="1"/>
    <x v="1"/>
    <s v="2024-08-07"/>
  </r>
  <r>
    <s v="ORD-1301"/>
    <d v="2024-10-02T00:00:00"/>
    <x v="1"/>
    <x v="0"/>
    <x v="0"/>
    <x v="6"/>
    <x v="4"/>
    <x v="0"/>
    <x v="21"/>
    <n v="19"/>
    <n v="5000"/>
    <n v="10"/>
    <n v="85500"/>
    <n v="0.33333333333333331"/>
    <n v="3000"/>
    <n v="57000"/>
    <n v="28500"/>
    <x v="0"/>
    <s v="Standard"/>
    <x v="2"/>
    <x v="4"/>
    <s v="2024-10-02"/>
  </r>
  <r>
    <s v="ORD-1302"/>
    <d v="2024-07-29T00:00:00"/>
    <x v="9"/>
    <x v="3"/>
    <x v="0"/>
    <x v="8"/>
    <x v="3"/>
    <x v="2"/>
    <x v="20"/>
    <n v="8"/>
    <n v="3500"/>
    <n v="5"/>
    <n v="26600"/>
    <n v="0.45864661654135336"/>
    <n v="1800"/>
    <n v="14400"/>
    <n v="12200"/>
    <x v="1"/>
    <s v="Standard"/>
    <x v="2"/>
    <x v="3"/>
    <s v="2024-07-29"/>
  </r>
  <r>
    <s v="ORD-1303"/>
    <d v="2024-12-12T00:00:00"/>
    <x v="7"/>
    <x v="0"/>
    <x v="0"/>
    <x v="5"/>
    <x v="6"/>
    <x v="2"/>
    <x v="11"/>
    <n v="9"/>
    <n v="4500"/>
    <n v="25"/>
    <n v="30375"/>
    <n v="0.25925925925925924"/>
    <n v="2500"/>
    <n v="22500"/>
    <n v="7875"/>
    <x v="1"/>
    <s v="Standard"/>
    <x v="5"/>
    <x v="1"/>
    <s v="2024-12-12"/>
  </r>
  <r>
    <s v="ORD-1304"/>
    <d v="2024-11-20T00:00:00"/>
    <x v="0"/>
    <x v="0"/>
    <x v="0"/>
    <x v="0"/>
    <x v="1"/>
    <x v="3"/>
    <x v="10"/>
    <n v="12"/>
    <n v="1500"/>
    <n v="15"/>
    <n v="15300"/>
    <n v="0.37254901960784315"/>
    <n v="800"/>
    <n v="9600"/>
    <n v="5700"/>
    <x v="1"/>
    <s v="Standard"/>
    <x v="4"/>
    <x v="1"/>
    <s v="2024-11-20"/>
  </r>
  <r>
    <s v="ORD-1305"/>
    <d v="2024-02-17T00:00:00"/>
    <x v="6"/>
    <x v="2"/>
    <x v="0"/>
    <x v="9"/>
    <x v="4"/>
    <x v="1"/>
    <x v="18"/>
    <n v="13"/>
    <n v="15000"/>
    <n v="5"/>
    <n v="185250"/>
    <n v="0.2982456140350877"/>
    <n v="10000"/>
    <n v="130000"/>
    <n v="55250"/>
    <x v="1"/>
    <s v="High Value"/>
    <x v="2"/>
    <x v="1"/>
    <s v="2024-02-17"/>
  </r>
  <r>
    <s v="ORD-1306"/>
    <d v="2024-06-14T00:00:00"/>
    <x v="2"/>
    <x v="1"/>
    <x v="0"/>
    <x v="2"/>
    <x v="4"/>
    <x v="3"/>
    <x v="14"/>
    <n v="5"/>
    <n v="1200"/>
    <n v="20"/>
    <n v="4800"/>
    <n v="0.27083333333333331"/>
    <n v="700"/>
    <n v="3500"/>
    <n v="1300"/>
    <x v="1"/>
    <s v="Standard"/>
    <x v="4"/>
    <x v="3"/>
    <s v="2024-06-14"/>
  </r>
  <r>
    <s v="ORD-1307"/>
    <d v="2024-01-25T00:00:00"/>
    <x v="10"/>
    <x v="2"/>
    <x v="0"/>
    <x v="8"/>
    <x v="7"/>
    <x v="4"/>
    <x v="17"/>
    <n v="4"/>
    <n v="800"/>
    <n v="5"/>
    <n v="3040"/>
    <n v="0.21052631578947367"/>
    <n v="600"/>
    <n v="2400"/>
    <n v="640"/>
    <x v="1"/>
    <s v="Standard"/>
    <x v="5"/>
    <x v="1"/>
    <s v="2024-01-25"/>
  </r>
  <r>
    <s v="ORD-1308"/>
    <d v="2024-08-07T00:00:00"/>
    <x v="11"/>
    <x v="3"/>
    <x v="0"/>
    <x v="1"/>
    <x v="2"/>
    <x v="0"/>
    <x v="0"/>
    <n v="9"/>
    <n v="3500"/>
    <n v="0"/>
    <n v="31500"/>
    <n v="0.42857142857142855"/>
    <n v="2000"/>
    <n v="18000"/>
    <n v="13500"/>
    <x v="1"/>
    <s v="Standard"/>
    <x v="4"/>
    <x v="1"/>
    <s v="2024-08-07"/>
  </r>
  <r>
    <s v="ORD-1309"/>
    <d v="2024-12-06T00:00:00"/>
    <x v="7"/>
    <x v="0"/>
    <x v="0"/>
    <x v="6"/>
    <x v="0"/>
    <x v="4"/>
    <x v="13"/>
    <n v="8"/>
    <n v="400"/>
    <n v="15"/>
    <n v="2720"/>
    <n v="0.17647058823529413"/>
    <n v="280"/>
    <n v="2240"/>
    <n v="480"/>
    <x v="0"/>
    <s v="Standard"/>
    <x v="0"/>
    <x v="1"/>
    <s v="2024-12-06"/>
  </r>
  <r>
    <s v="ORD-1310"/>
    <d v="2024-04-19T00:00:00"/>
    <x v="3"/>
    <x v="1"/>
    <x v="0"/>
    <x v="9"/>
    <x v="7"/>
    <x v="2"/>
    <x v="11"/>
    <n v="8"/>
    <n v="4500"/>
    <n v="20"/>
    <n v="28800"/>
    <n v="0.30555555555555558"/>
    <n v="2500"/>
    <n v="20000"/>
    <n v="8800"/>
    <x v="1"/>
    <s v="Standard"/>
    <x v="3"/>
    <x v="1"/>
    <s v="2024-04-19"/>
  </r>
  <r>
    <s v="ORD-1311"/>
    <d v="2024-06-24T00:00:00"/>
    <x v="2"/>
    <x v="1"/>
    <x v="0"/>
    <x v="0"/>
    <x v="1"/>
    <x v="2"/>
    <x v="2"/>
    <n v="3"/>
    <n v="6000"/>
    <n v="5"/>
    <n v="17100"/>
    <n v="0.38596491228070173"/>
    <n v="3500"/>
    <n v="10500"/>
    <n v="6600"/>
    <x v="1"/>
    <s v="Standard"/>
    <x v="3"/>
    <x v="0"/>
    <s v="2024-06-24"/>
  </r>
  <r>
    <s v="ORD-1312"/>
    <d v="2024-02-22T00:00:00"/>
    <x v="6"/>
    <x v="2"/>
    <x v="0"/>
    <x v="0"/>
    <x v="4"/>
    <x v="0"/>
    <x v="21"/>
    <n v="5"/>
    <n v="5000"/>
    <n v="15"/>
    <n v="21250"/>
    <n v="0.29411764705882354"/>
    <n v="3000"/>
    <n v="15000"/>
    <n v="6250"/>
    <x v="0"/>
    <s v="Standard"/>
    <x v="0"/>
    <x v="2"/>
    <s v="2024-02-22"/>
  </r>
  <r>
    <s v="ORD-1313"/>
    <d v="2024-03-14T00:00:00"/>
    <x v="5"/>
    <x v="2"/>
    <x v="0"/>
    <x v="0"/>
    <x v="0"/>
    <x v="3"/>
    <x v="5"/>
    <n v="15"/>
    <n v="2000"/>
    <n v="10"/>
    <n v="27000"/>
    <n v="0.33333333333333331"/>
    <n v="1200"/>
    <n v="18000"/>
    <n v="9000"/>
    <x v="0"/>
    <s v="Standard"/>
    <x v="0"/>
    <x v="0"/>
    <s v="2024-03-14"/>
  </r>
  <r>
    <s v="ORD-1314"/>
    <d v="2024-07-29T00:00:00"/>
    <x v="9"/>
    <x v="3"/>
    <x v="0"/>
    <x v="3"/>
    <x v="6"/>
    <x v="2"/>
    <x v="23"/>
    <n v="4"/>
    <n v="2500"/>
    <n v="5"/>
    <n v="9500"/>
    <n v="0.49473684210526314"/>
    <n v="1200"/>
    <n v="4800"/>
    <n v="4700"/>
    <x v="0"/>
    <s v="Standard"/>
    <x v="1"/>
    <x v="0"/>
    <s v="2024-07-29"/>
  </r>
  <r>
    <s v="ORD-1315"/>
    <d v="2024-06-28T00:00:00"/>
    <x v="2"/>
    <x v="1"/>
    <x v="0"/>
    <x v="5"/>
    <x v="4"/>
    <x v="2"/>
    <x v="20"/>
    <n v="9"/>
    <n v="3500"/>
    <n v="25"/>
    <n v="23625"/>
    <n v="0.31428571428571428"/>
    <n v="1800"/>
    <n v="16200"/>
    <n v="7425"/>
    <x v="0"/>
    <s v="Standard"/>
    <x v="2"/>
    <x v="1"/>
    <s v="2024-06-28"/>
  </r>
  <r>
    <s v="ORD-1316"/>
    <d v="2024-11-03T00:00:00"/>
    <x v="0"/>
    <x v="0"/>
    <x v="0"/>
    <x v="3"/>
    <x v="3"/>
    <x v="1"/>
    <x v="24"/>
    <n v="7"/>
    <n v="35000"/>
    <n v="20"/>
    <n v="196000"/>
    <n v="7.1428571428571425E-2"/>
    <n v="26000"/>
    <n v="182000"/>
    <n v="14000"/>
    <x v="0"/>
    <s v="Standard"/>
    <x v="0"/>
    <x v="1"/>
    <s v="2024-11-03"/>
  </r>
  <r>
    <s v="ORD-1317"/>
    <d v="2024-11-26T00:00:00"/>
    <x v="0"/>
    <x v="0"/>
    <x v="0"/>
    <x v="8"/>
    <x v="5"/>
    <x v="4"/>
    <x v="15"/>
    <n v="4"/>
    <n v="700"/>
    <n v="5"/>
    <n v="2660"/>
    <n v="0.24812030075187969"/>
    <n v="500"/>
    <n v="2000"/>
    <n v="660"/>
    <x v="1"/>
    <s v="Standard"/>
    <x v="0"/>
    <x v="1"/>
    <s v="2024-11-26"/>
  </r>
  <r>
    <s v="ORD-1318"/>
    <d v="2024-09-27T00:00:00"/>
    <x v="8"/>
    <x v="3"/>
    <x v="0"/>
    <x v="8"/>
    <x v="4"/>
    <x v="0"/>
    <x v="0"/>
    <n v="13"/>
    <n v="3500"/>
    <n v="20"/>
    <n v="36400"/>
    <n v="0.2857142857142857"/>
    <n v="2000"/>
    <n v="26000"/>
    <n v="10400"/>
    <x v="1"/>
    <s v="Standard"/>
    <x v="4"/>
    <x v="1"/>
    <s v="2024-09-27"/>
  </r>
  <r>
    <s v="ORD-1319"/>
    <d v="2024-03-29T00:00:00"/>
    <x v="5"/>
    <x v="2"/>
    <x v="0"/>
    <x v="9"/>
    <x v="7"/>
    <x v="1"/>
    <x v="18"/>
    <n v="3"/>
    <n v="15000"/>
    <n v="0"/>
    <n v="45000"/>
    <n v="0.33333333333333331"/>
    <n v="10000"/>
    <n v="30000"/>
    <n v="15000"/>
    <x v="1"/>
    <s v="Standard"/>
    <x v="2"/>
    <x v="1"/>
    <s v="2024-03-29"/>
  </r>
  <r>
    <s v="ORD-1320"/>
    <d v="2024-01-31T00:00:00"/>
    <x v="10"/>
    <x v="2"/>
    <x v="0"/>
    <x v="5"/>
    <x v="3"/>
    <x v="3"/>
    <x v="8"/>
    <n v="14"/>
    <n v="8000"/>
    <n v="25"/>
    <n v="84000"/>
    <n v="0.16666666666666666"/>
    <n v="5000"/>
    <n v="70000"/>
    <n v="14000"/>
    <x v="1"/>
    <s v="Standard"/>
    <x v="3"/>
    <x v="0"/>
    <s v="2024-01-31"/>
  </r>
  <r>
    <s v="ORD-1321"/>
    <d v="2024-10-02T00:00:00"/>
    <x v="1"/>
    <x v="0"/>
    <x v="0"/>
    <x v="3"/>
    <x v="2"/>
    <x v="0"/>
    <x v="7"/>
    <n v="10"/>
    <n v="18000"/>
    <n v="0"/>
    <n v="180000"/>
    <n v="0.33333333333333331"/>
    <n v="12000"/>
    <n v="120000"/>
    <n v="60000"/>
    <x v="0"/>
    <s v="High Value"/>
    <x v="2"/>
    <x v="1"/>
    <s v="2024-10-02"/>
  </r>
  <r>
    <s v="ORD-1322"/>
    <d v="2024-07-19T00:00:00"/>
    <x v="9"/>
    <x v="3"/>
    <x v="0"/>
    <x v="3"/>
    <x v="7"/>
    <x v="0"/>
    <x v="6"/>
    <n v="8"/>
    <n v="12000"/>
    <n v="0"/>
    <n v="96000"/>
    <n v="0.33333333333333331"/>
    <n v="8000"/>
    <n v="64000"/>
    <n v="32000"/>
    <x v="0"/>
    <s v="High Value"/>
    <x v="3"/>
    <x v="4"/>
    <s v="2024-07-19"/>
  </r>
  <r>
    <s v="ORD-1323"/>
    <d v="2024-02-29T00:00:00"/>
    <x v="6"/>
    <x v="2"/>
    <x v="0"/>
    <x v="9"/>
    <x v="0"/>
    <x v="0"/>
    <x v="0"/>
    <n v="4"/>
    <n v="3500"/>
    <n v="0"/>
    <n v="14000"/>
    <n v="0.42857142857142855"/>
    <n v="2000"/>
    <n v="8000"/>
    <n v="6000"/>
    <x v="0"/>
    <s v="Standard"/>
    <x v="0"/>
    <x v="1"/>
    <s v="2024-02-29"/>
  </r>
  <r>
    <s v="ORD-1324"/>
    <d v="2024-09-11T00:00:00"/>
    <x v="8"/>
    <x v="3"/>
    <x v="0"/>
    <x v="7"/>
    <x v="3"/>
    <x v="2"/>
    <x v="3"/>
    <n v="5"/>
    <n v="3000"/>
    <n v="25"/>
    <n v="11250"/>
    <n v="0.33333333333333331"/>
    <n v="1500"/>
    <n v="7500"/>
    <n v="3750"/>
    <x v="1"/>
    <s v="Standard"/>
    <x v="0"/>
    <x v="3"/>
    <s v="2024-09-11"/>
  </r>
  <r>
    <s v="ORD-1325"/>
    <d v="2024-01-16T00:00:00"/>
    <x v="10"/>
    <x v="2"/>
    <x v="0"/>
    <x v="7"/>
    <x v="1"/>
    <x v="0"/>
    <x v="19"/>
    <n v="3"/>
    <n v="15000"/>
    <n v="10"/>
    <n v="40500"/>
    <n v="0.25925925925925924"/>
    <n v="10000"/>
    <n v="30000"/>
    <n v="10500"/>
    <x v="0"/>
    <s v="Standard"/>
    <x v="5"/>
    <x v="1"/>
    <s v="2024-01-16"/>
  </r>
  <r>
    <s v="ORD-1326"/>
    <d v="2024-07-03T00:00:00"/>
    <x v="9"/>
    <x v="3"/>
    <x v="0"/>
    <x v="8"/>
    <x v="6"/>
    <x v="3"/>
    <x v="5"/>
    <n v="12"/>
    <n v="2000"/>
    <n v="5"/>
    <n v="22800"/>
    <n v="0.36842105263157893"/>
    <n v="1200"/>
    <n v="14400"/>
    <n v="8400"/>
    <x v="1"/>
    <s v="Standard"/>
    <x v="3"/>
    <x v="3"/>
    <s v="2024-07-03"/>
  </r>
  <r>
    <s v="ORD-1327"/>
    <d v="2024-12-11T00:00:00"/>
    <x v="7"/>
    <x v="0"/>
    <x v="0"/>
    <x v="0"/>
    <x v="5"/>
    <x v="3"/>
    <x v="9"/>
    <n v="2"/>
    <n v="4000"/>
    <n v="0"/>
    <n v="8000"/>
    <n v="0.375"/>
    <n v="2500"/>
    <n v="5000"/>
    <n v="3000"/>
    <x v="0"/>
    <s v="Standard"/>
    <x v="3"/>
    <x v="1"/>
    <s v="2024-12-11"/>
  </r>
  <r>
    <s v="ORD-1328"/>
    <d v="2024-07-15T00:00:00"/>
    <x v="9"/>
    <x v="3"/>
    <x v="0"/>
    <x v="6"/>
    <x v="2"/>
    <x v="1"/>
    <x v="18"/>
    <n v="14"/>
    <n v="15000"/>
    <n v="5"/>
    <n v="199500"/>
    <n v="0.2982456140350877"/>
    <n v="10000"/>
    <n v="140000"/>
    <n v="59500"/>
    <x v="1"/>
    <s v="High Value"/>
    <x v="2"/>
    <x v="1"/>
    <s v="2024-07-15"/>
  </r>
  <r>
    <s v="ORD-1329"/>
    <d v="2024-06-12T00:00:00"/>
    <x v="2"/>
    <x v="1"/>
    <x v="0"/>
    <x v="2"/>
    <x v="7"/>
    <x v="3"/>
    <x v="10"/>
    <n v="4"/>
    <n v="1500"/>
    <n v="20"/>
    <n v="4800"/>
    <n v="0.33333333333333331"/>
    <n v="800"/>
    <n v="3200"/>
    <n v="1600"/>
    <x v="0"/>
    <s v="Standard"/>
    <x v="2"/>
    <x v="1"/>
    <s v="2024-06-12"/>
  </r>
  <r>
    <s v="ORD-1330"/>
    <d v="2024-09-21T00:00:00"/>
    <x v="8"/>
    <x v="3"/>
    <x v="0"/>
    <x v="8"/>
    <x v="1"/>
    <x v="1"/>
    <x v="4"/>
    <n v="10"/>
    <n v="5000"/>
    <n v="10"/>
    <n v="45000"/>
    <n v="0.33333333333333331"/>
    <n v="3000"/>
    <n v="30000"/>
    <n v="15000"/>
    <x v="1"/>
    <s v="Standard"/>
    <x v="3"/>
    <x v="1"/>
    <s v="2024-09-21"/>
  </r>
  <r>
    <s v="ORD-1331"/>
    <d v="2024-01-05T00:00:00"/>
    <x v="10"/>
    <x v="2"/>
    <x v="0"/>
    <x v="7"/>
    <x v="5"/>
    <x v="0"/>
    <x v="19"/>
    <n v="10"/>
    <n v="15000"/>
    <n v="25"/>
    <n v="112500"/>
    <n v="0.1111111111111111"/>
    <n v="10000"/>
    <n v="100000"/>
    <n v="12500"/>
    <x v="0"/>
    <s v="Standard"/>
    <x v="5"/>
    <x v="1"/>
    <s v="2024-01-05"/>
  </r>
  <r>
    <s v="ORD-1332"/>
    <d v="2024-09-09T00:00:00"/>
    <x v="8"/>
    <x v="3"/>
    <x v="0"/>
    <x v="1"/>
    <x v="5"/>
    <x v="2"/>
    <x v="23"/>
    <n v="14"/>
    <n v="2500"/>
    <n v="0"/>
    <n v="35000"/>
    <n v="0.52"/>
    <n v="1200"/>
    <n v="16800"/>
    <n v="18200"/>
    <x v="0"/>
    <s v="Standard"/>
    <x v="1"/>
    <x v="1"/>
    <s v="2024-09-09"/>
  </r>
  <r>
    <s v="ORD-1333"/>
    <d v="2024-12-21T00:00:00"/>
    <x v="7"/>
    <x v="0"/>
    <x v="0"/>
    <x v="8"/>
    <x v="4"/>
    <x v="1"/>
    <x v="4"/>
    <n v="10"/>
    <n v="5000"/>
    <n v="0"/>
    <n v="50000"/>
    <n v="0.4"/>
    <n v="3000"/>
    <n v="30000"/>
    <n v="20000"/>
    <x v="0"/>
    <s v="Standard"/>
    <x v="1"/>
    <x v="2"/>
    <s v="2024-12-21"/>
  </r>
  <r>
    <s v="ORD-1334"/>
    <d v="2024-08-02T00:00:00"/>
    <x v="11"/>
    <x v="3"/>
    <x v="0"/>
    <x v="9"/>
    <x v="0"/>
    <x v="2"/>
    <x v="3"/>
    <n v="3"/>
    <n v="3000"/>
    <n v="0"/>
    <n v="9000"/>
    <n v="0.5"/>
    <n v="1500"/>
    <n v="4500"/>
    <n v="4500"/>
    <x v="0"/>
    <s v="Standard"/>
    <x v="1"/>
    <x v="1"/>
    <s v="2024-08-02"/>
  </r>
  <r>
    <s v="ORD-1335"/>
    <d v="2024-07-09T00:00:00"/>
    <x v="9"/>
    <x v="3"/>
    <x v="0"/>
    <x v="9"/>
    <x v="7"/>
    <x v="3"/>
    <x v="9"/>
    <n v="17"/>
    <n v="4000"/>
    <n v="5"/>
    <n v="64600"/>
    <n v="0.34210526315789475"/>
    <n v="2500"/>
    <n v="42500"/>
    <n v="22100"/>
    <x v="1"/>
    <s v="High Value"/>
    <x v="3"/>
    <x v="1"/>
    <s v="2024-07-09"/>
  </r>
  <r>
    <s v="ORD-1336"/>
    <d v="2024-02-01T00:00:00"/>
    <x v="6"/>
    <x v="2"/>
    <x v="0"/>
    <x v="5"/>
    <x v="2"/>
    <x v="2"/>
    <x v="3"/>
    <n v="9"/>
    <n v="3000"/>
    <n v="10"/>
    <n v="24300"/>
    <n v="0.44444444444444442"/>
    <n v="1500"/>
    <n v="13500"/>
    <n v="10800"/>
    <x v="1"/>
    <s v="Standard"/>
    <x v="0"/>
    <x v="3"/>
    <s v="2024-02-01"/>
  </r>
  <r>
    <s v="ORD-1337"/>
    <d v="2024-06-16T00:00:00"/>
    <x v="2"/>
    <x v="1"/>
    <x v="0"/>
    <x v="7"/>
    <x v="6"/>
    <x v="0"/>
    <x v="0"/>
    <n v="3"/>
    <n v="3500"/>
    <n v="5"/>
    <n v="9975"/>
    <n v="0.39849624060150374"/>
    <n v="2000"/>
    <n v="6000"/>
    <n v="3975"/>
    <x v="0"/>
    <s v="Standard"/>
    <x v="1"/>
    <x v="1"/>
    <s v="2024-06-16"/>
  </r>
  <r>
    <s v="ORD-1338"/>
    <d v="2024-02-24T00:00:00"/>
    <x v="6"/>
    <x v="2"/>
    <x v="0"/>
    <x v="6"/>
    <x v="6"/>
    <x v="4"/>
    <x v="13"/>
    <n v="14"/>
    <n v="400"/>
    <n v="0"/>
    <n v="5600"/>
    <n v="0.3"/>
    <n v="280"/>
    <n v="3920"/>
    <n v="1680"/>
    <x v="1"/>
    <s v="Standard"/>
    <x v="2"/>
    <x v="1"/>
    <s v="2024-02-24"/>
  </r>
  <r>
    <s v="ORD-1339"/>
    <d v="2024-08-25T00:00:00"/>
    <x v="11"/>
    <x v="3"/>
    <x v="0"/>
    <x v="2"/>
    <x v="7"/>
    <x v="1"/>
    <x v="16"/>
    <n v="10"/>
    <n v="85000"/>
    <n v="25"/>
    <n v="637500"/>
    <n v="-1.9607843137254902E-2"/>
    <n v="65000"/>
    <n v="650000"/>
    <n v="-12500"/>
    <x v="0"/>
    <s v="Standard"/>
    <x v="2"/>
    <x v="3"/>
    <s v="2024-08-25"/>
  </r>
  <r>
    <s v="ORD-1340"/>
    <d v="2024-06-16T00:00:00"/>
    <x v="2"/>
    <x v="1"/>
    <x v="0"/>
    <x v="6"/>
    <x v="7"/>
    <x v="2"/>
    <x v="3"/>
    <n v="13"/>
    <n v="3000"/>
    <n v="20"/>
    <n v="31200"/>
    <n v="0.375"/>
    <n v="1500"/>
    <n v="19500"/>
    <n v="11700"/>
    <x v="0"/>
    <s v="Standard"/>
    <x v="0"/>
    <x v="1"/>
    <s v="2024-06-16"/>
  </r>
  <r>
    <s v="ORD-1341"/>
    <d v="2024-03-30T00:00:00"/>
    <x v="5"/>
    <x v="2"/>
    <x v="0"/>
    <x v="8"/>
    <x v="1"/>
    <x v="4"/>
    <x v="12"/>
    <n v="18"/>
    <n v="1200"/>
    <n v="5"/>
    <n v="20520"/>
    <n v="0.21052631578947367"/>
    <n v="900"/>
    <n v="16200"/>
    <n v="4320"/>
    <x v="0"/>
    <s v="Standard"/>
    <x v="5"/>
    <x v="1"/>
    <s v="2024-03-30"/>
  </r>
  <r>
    <s v="ORD-1342"/>
    <d v="2024-03-12T00:00:00"/>
    <x v="5"/>
    <x v="2"/>
    <x v="0"/>
    <x v="0"/>
    <x v="0"/>
    <x v="1"/>
    <x v="16"/>
    <n v="5"/>
    <n v="85000"/>
    <n v="5"/>
    <n v="403750"/>
    <n v="0.19504643962848298"/>
    <n v="65000"/>
    <n v="325000"/>
    <n v="78750"/>
    <x v="1"/>
    <s v="High Value"/>
    <x v="4"/>
    <x v="0"/>
    <s v="2024-03-12"/>
  </r>
  <r>
    <s v="ORD-1343"/>
    <d v="2024-11-26T00:00:00"/>
    <x v="0"/>
    <x v="0"/>
    <x v="0"/>
    <x v="0"/>
    <x v="3"/>
    <x v="1"/>
    <x v="1"/>
    <n v="3"/>
    <n v="25000"/>
    <n v="5"/>
    <n v="71250"/>
    <n v="0.24210526315789474"/>
    <n v="18000"/>
    <n v="54000"/>
    <n v="17250"/>
    <x v="1"/>
    <s v="High Value"/>
    <x v="2"/>
    <x v="1"/>
    <s v="2024-11-26"/>
  </r>
  <r>
    <s v="ORD-1344"/>
    <d v="2024-06-18T00:00:00"/>
    <x v="2"/>
    <x v="1"/>
    <x v="0"/>
    <x v="0"/>
    <x v="0"/>
    <x v="4"/>
    <x v="17"/>
    <n v="6"/>
    <n v="800"/>
    <n v="20"/>
    <n v="3840"/>
    <n v="6.25E-2"/>
    <n v="600"/>
    <n v="3600"/>
    <n v="240"/>
    <x v="1"/>
    <s v="Standard"/>
    <x v="0"/>
    <x v="1"/>
    <s v="2024-06-18"/>
  </r>
  <r>
    <s v="ORD-1345"/>
    <d v="2024-01-16T00:00:00"/>
    <x v="10"/>
    <x v="2"/>
    <x v="0"/>
    <x v="5"/>
    <x v="1"/>
    <x v="2"/>
    <x v="3"/>
    <n v="7"/>
    <n v="3000"/>
    <n v="5"/>
    <n v="19950"/>
    <n v="0.47368421052631576"/>
    <n v="1500"/>
    <n v="10500"/>
    <n v="9450"/>
    <x v="1"/>
    <s v="Standard"/>
    <x v="4"/>
    <x v="1"/>
    <s v="2024-01-16"/>
  </r>
  <r>
    <s v="ORD-1346"/>
    <d v="2024-03-17T00:00:00"/>
    <x v="5"/>
    <x v="2"/>
    <x v="0"/>
    <x v="8"/>
    <x v="5"/>
    <x v="0"/>
    <x v="6"/>
    <n v="14"/>
    <n v="12000"/>
    <n v="20"/>
    <n v="134400"/>
    <n v="0.16666666666666666"/>
    <n v="8000"/>
    <n v="112000"/>
    <n v="22400"/>
    <x v="1"/>
    <s v="Standard"/>
    <x v="3"/>
    <x v="1"/>
    <s v="2024-03-17"/>
  </r>
  <r>
    <s v="ORD-1347"/>
    <d v="2024-07-15T00:00:00"/>
    <x v="9"/>
    <x v="3"/>
    <x v="0"/>
    <x v="6"/>
    <x v="1"/>
    <x v="2"/>
    <x v="11"/>
    <n v="8"/>
    <n v="4500"/>
    <n v="25"/>
    <n v="27000"/>
    <n v="0.25925925925925924"/>
    <n v="2500"/>
    <n v="20000"/>
    <n v="7000"/>
    <x v="0"/>
    <s v="Standard"/>
    <x v="5"/>
    <x v="3"/>
    <s v="2024-07-15"/>
  </r>
  <r>
    <s v="ORD-1348"/>
    <d v="2024-07-02T00:00:00"/>
    <x v="9"/>
    <x v="3"/>
    <x v="0"/>
    <x v="9"/>
    <x v="6"/>
    <x v="0"/>
    <x v="19"/>
    <n v="17"/>
    <n v="15000"/>
    <n v="10"/>
    <n v="229500"/>
    <n v="0.25925925925925924"/>
    <n v="10000"/>
    <n v="170000"/>
    <n v="59500"/>
    <x v="1"/>
    <s v="Standard"/>
    <x v="4"/>
    <x v="1"/>
    <s v="2024-07-02"/>
  </r>
  <r>
    <s v="ORD-1349"/>
    <d v="2024-06-12T00:00:00"/>
    <x v="2"/>
    <x v="1"/>
    <x v="0"/>
    <x v="3"/>
    <x v="5"/>
    <x v="1"/>
    <x v="24"/>
    <n v="2"/>
    <n v="35000"/>
    <n v="15"/>
    <n v="59500"/>
    <n v="0.12605042016806722"/>
    <n v="26000"/>
    <n v="52000"/>
    <n v="7500"/>
    <x v="1"/>
    <s v="Standard"/>
    <x v="1"/>
    <x v="2"/>
    <s v="2024-06-12"/>
  </r>
  <r>
    <s v="ORD-1350"/>
    <d v="2024-03-22T00:00:00"/>
    <x v="5"/>
    <x v="2"/>
    <x v="0"/>
    <x v="0"/>
    <x v="5"/>
    <x v="2"/>
    <x v="3"/>
    <n v="18"/>
    <n v="3000"/>
    <n v="25"/>
    <n v="40500"/>
    <n v="0.33333333333333331"/>
    <n v="1500"/>
    <n v="27000"/>
    <n v="13500"/>
    <x v="0"/>
    <s v="Standard"/>
    <x v="2"/>
    <x v="1"/>
    <s v="2024-03-22"/>
  </r>
  <r>
    <s v="ORD-1351"/>
    <d v="2024-07-17T00:00:00"/>
    <x v="9"/>
    <x v="3"/>
    <x v="0"/>
    <x v="7"/>
    <x v="2"/>
    <x v="2"/>
    <x v="20"/>
    <n v="19"/>
    <n v="3500"/>
    <n v="10"/>
    <n v="59850"/>
    <n v="0.42857142857142855"/>
    <n v="1800"/>
    <n v="34200"/>
    <n v="25650"/>
    <x v="1"/>
    <s v="Standard"/>
    <x v="1"/>
    <x v="1"/>
    <s v="2024-07-17"/>
  </r>
  <r>
    <s v="ORD-1352"/>
    <d v="2024-12-24T00:00:00"/>
    <x v="7"/>
    <x v="0"/>
    <x v="0"/>
    <x v="7"/>
    <x v="2"/>
    <x v="3"/>
    <x v="5"/>
    <n v="16"/>
    <n v="2000"/>
    <n v="20"/>
    <n v="25600"/>
    <n v="0.25"/>
    <n v="1200"/>
    <n v="19200"/>
    <n v="6400"/>
    <x v="1"/>
    <s v="Standard"/>
    <x v="2"/>
    <x v="1"/>
    <s v="2024-12-24"/>
  </r>
  <r>
    <s v="ORD-1353"/>
    <d v="2024-02-16T00:00:00"/>
    <x v="6"/>
    <x v="2"/>
    <x v="0"/>
    <x v="8"/>
    <x v="5"/>
    <x v="3"/>
    <x v="5"/>
    <n v="1"/>
    <n v="2000"/>
    <n v="20"/>
    <n v="1600"/>
    <n v="0.25"/>
    <n v="1200"/>
    <n v="1200"/>
    <n v="400"/>
    <x v="1"/>
    <s v="Standard"/>
    <x v="3"/>
    <x v="1"/>
    <s v="2024-02-16"/>
  </r>
  <r>
    <s v="ORD-1354"/>
    <d v="2024-11-10T00:00:00"/>
    <x v="0"/>
    <x v="0"/>
    <x v="0"/>
    <x v="1"/>
    <x v="2"/>
    <x v="0"/>
    <x v="0"/>
    <n v="11"/>
    <n v="3500"/>
    <n v="0"/>
    <n v="38500"/>
    <n v="0.42857142857142855"/>
    <n v="2000"/>
    <n v="22000"/>
    <n v="16500"/>
    <x v="0"/>
    <s v="Standard"/>
    <x v="2"/>
    <x v="1"/>
    <s v="2024-11-10"/>
  </r>
  <r>
    <s v="ORD-1355"/>
    <d v="2024-03-13T00:00:00"/>
    <x v="5"/>
    <x v="2"/>
    <x v="0"/>
    <x v="0"/>
    <x v="4"/>
    <x v="1"/>
    <x v="24"/>
    <n v="13"/>
    <n v="35000"/>
    <n v="20"/>
    <n v="364000"/>
    <n v="7.1428571428571425E-2"/>
    <n v="26000"/>
    <n v="338000"/>
    <n v="26000"/>
    <x v="0"/>
    <s v="Standard"/>
    <x v="4"/>
    <x v="1"/>
    <s v="2024-03-13"/>
  </r>
  <r>
    <s v="ORD-1356"/>
    <d v="2024-03-10T00:00:00"/>
    <x v="5"/>
    <x v="2"/>
    <x v="0"/>
    <x v="6"/>
    <x v="1"/>
    <x v="4"/>
    <x v="13"/>
    <n v="6"/>
    <n v="400"/>
    <n v="25"/>
    <n v="1800"/>
    <n v="6.6666666666666666E-2"/>
    <n v="280"/>
    <n v="1680"/>
    <n v="120"/>
    <x v="1"/>
    <s v="Standard"/>
    <x v="2"/>
    <x v="0"/>
    <s v="2024-03-10"/>
  </r>
  <r>
    <s v="ORD-1357"/>
    <d v="2024-03-30T00:00:00"/>
    <x v="5"/>
    <x v="2"/>
    <x v="0"/>
    <x v="5"/>
    <x v="3"/>
    <x v="0"/>
    <x v="0"/>
    <n v="6"/>
    <n v="3500"/>
    <n v="25"/>
    <n v="15750"/>
    <n v="0.23809523809523808"/>
    <n v="2000"/>
    <n v="12000"/>
    <n v="3750"/>
    <x v="0"/>
    <s v="Standard"/>
    <x v="0"/>
    <x v="4"/>
    <s v="2024-03-30"/>
  </r>
  <r>
    <s v="ORD-1358"/>
    <d v="2024-07-19T00:00:00"/>
    <x v="9"/>
    <x v="3"/>
    <x v="0"/>
    <x v="3"/>
    <x v="0"/>
    <x v="2"/>
    <x v="11"/>
    <n v="11"/>
    <n v="4500"/>
    <n v="20"/>
    <n v="39600"/>
    <n v="0.30555555555555558"/>
    <n v="2500"/>
    <n v="27500"/>
    <n v="12100"/>
    <x v="0"/>
    <s v="Standard"/>
    <x v="0"/>
    <x v="1"/>
    <s v="2024-07-19"/>
  </r>
  <r>
    <s v="ORD-1359"/>
    <d v="2024-09-11T00:00:00"/>
    <x v="8"/>
    <x v="3"/>
    <x v="0"/>
    <x v="6"/>
    <x v="4"/>
    <x v="1"/>
    <x v="16"/>
    <n v="12"/>
    <n v="85000"/>
    <n v="10"/>
    <n v="918000"/>
    <n v="0.15032679738562091"/>
    <n v="65000"/>
    <n v="780000"/>
    <n v="138000"/>
    <x v="0"/>
    <s v="Standard"/>
    <x v="0"/>
    <x v="3"/>
    <s v="2024-09-11"/>
  </r>
  <r>
    <s v="ORD-1360"/>
    <d v="2024-02-15T00:00:00"/>
    <x v="6"/>
    <x v="2"/>
    <x v="0"/>
    <x v="7"/>
    <x v="6"/>
    <x v="1"/>
    <x v="24"/>
    <n v="7"/>
    <n v="35000"/>
    <n v="5"/>
    <n v="232750"/>
    <n v="0.21804511278195488"/>
    <n v="26000"/>
    <n v="182000"/>
    <n v="50750"/>
    <x v="0"/>
    <s v="High Value"/>
    <x v="4"/>
    <x v="1"/>
    <s v="2024-02-15"/>
  </r>
  <r>
    <s v="ORD-1361"/>
    <d v="2024-02-25T00:00:00"/>
    <x v="6"/>
    <x v="2"/>
    <x v="0"/>
    <x v="8"/>
    <x v="0"/>
    <x v="4"/>
    <x v="15"/>
    <n v="14"/>
    <n v="700"/>
    <n v="5"/>
    <n v="9310"/>
    <n v="0.24812030075187969"/>
    <n v="500"/>
    <n v="7000"/>
    <n v="2310"/>
    <x v="1"/>
    <s v="Standard"/>
    <x v="5"/>
    <x v="3"/>
    <s v="2024-02-25"/>
  </r>
  <r>
    <s v="ORD-1362"/>
    <d v="2024-06-28T00:00:00"/>
    <x v="2"/>
    <x v="1"/>
    <x v="0"/>
    <x v="4"/>
    <x v="1"/>
    <x v="1"/>
    <x v="4"/>
    <n v="19"/>
    <n v="5000"/>
    <n v="25"/>
    <n v="71250"/>
    <n v="0.2"/>
    <n v="3000"/>
    <n v="57000"/>
    <n v="14250"/>
    <x v="0"/>
    <s v="Standard"/>
    <x v="2"/>
    <x v="1"/>
    <s v="2024-06-28"/>
  </r>
  <r>
    <s v="ORD-1363"/>
    <d v="2024-01-18T00:00:00"/>
    <x v="10"/>
    <x v="2"/>
    <x v="0"/>
    <x v="2"/>
    <x v="0"/>
    <x v="0"/>
    <x v="21"/>
    <n v="4"/>
    <n v="5000"/>
    <n v="0"/>
    <n v="20000"/>
    <n v="0.4"/>
    <n v="3000"/>
    <n v="12000"/>
    <n v="8000"/>
    <x v="1"/>
    <s v="Standard"/>
    <x v="2"/>
    <x v="3"/>
    <s v="2024-01-18"/>
  </r>
  <r>
    <s v="ORD-1364"/>
    <d v="2024-03-23T00:00:00"/>
    <x v="5"/>
    <x v="2"/>
    <x v="0"/>
    <x v="0"/>
    <x v="7"/>
    <x v="0"/>
    <x v="19"/>
    <n v="20"/>
    <n v="15000"/>
    <n v="15"/>
    <n v="255000"/>
    <n v="0.21568627450980393"/>
    <n v="10000"/>
    <n v="200000"/>
    <n v="55000"/>
    <x v="0"/>
    <s v="Standard"/>
    <x v="5"/>
    <x v="4"/>
    <s v="2024-03-23"/>
  </r>
  <r>
    <s v="ORD-1365"/>
    <d v="2024-03-25T00:00:00"/>
    <x v="5"/>
    <x v="2"/>
    <x v="0"/>
    <x v="3"/>
    <x v="1"/>
    <x v="2"/>
    <x v="23"/>
    <n v="4"/>
    <n v="2500"/>
    <n v="10"/>
    <n v="9000"/>
    <n v="0.46666666666666667"/>
    <n v="1200"/>
    <n v="4800"/>
    <n v="4200"/>
    <x v="0"/>
    <s v="Standard"/>
    <x v="2"/>
    <x v="1"/>
    <s v="2024-03-25"/>
  </r>
  <r>
    <s v="ORD-1366"/>
    <d v="2024-10-10T00:00:00"/>
    <x v="1"/>
    <x v="0"/>
    <x v="0"/>
    <x v="4"/>
    <x v="3"/>
    <x v="0"/>
    <x v="21"/>
    <n v="8"/>
    <n v="5000"/>
    <n v="0"/>
    <n v="40000"/>
    <n v="0.4"/>
    <n v="3000"/>
    <n v="24000"/>
    <n v="16000"/>
    <x v="0"/>
    <s v="Standard"/>
    <x v="5"/>
    <x v="1"/>
    <s v="2024-10-10"/>
  </r>
  <r>
    <s v="ORD-1367"/>
    <d v="2024-09-08T00:00:00"/>
    <x v="8"/>
    <x v="3"/>
    <x v="0"/>
    <x v="6"/>
    <x v="0"/>
    <x v="0"/>
    <x v="7"/>
    <n v="14"/>
    <n v="18000"/>
    <n v="0"/>
    <n v="252000"/>
    <n v="0.33333333333333331"/>
    <n v="12000"/>
    <n v="168000"/>
    <n v="84000"/>
    <x v="1"/>
    <s v="High Value"/>
    <x v="0"/>
    <x v="0"/>
    <s v="2024-09-08"/>
  </r>
  <r>
    <s v="ORD-1368"/>
    <d v="2024-09-02T00:00:00"/>
    <x v="8"/>
    <x v="3"/>
    <x v="0"/>
    <x v="1"/>
    <x v="7"/>
    <x v="1"/>
    <x v="16"/>
    <n v="6"/>
    <n v="85000"/>
    <n v="25"/>
    <n v="382500"/>
    <n v="-1.9607843137254902E-2"/>
    <n v="65000"/>
    <n v="390000"/>
    <n v="-7500"/>
    <x v="1"/>
    <s v="Standard"/>
    <x v="3"/>
    <x v="1"/>
    <s v="2024-09-02"/>
  </r>
  <r>
    <s v="ORD-1369"/>
    <d v="2024-02-29T00:00:00"/>
    <x v="6"/>
    <x v="2"/>
    <x v="0"/>
    <x v="2"/>
    <x v="1"/>
    <x v="4"/>
    <x v="15"/>
    <n v="9"/>
    <n v="700"/>
    <n v="0"/>
    <n v="6300"/>
    <n v="0.2857142857142857"/>
    <n v="500"/>
    <n v="4500"/>
    <n v="1800"/>
    <x v="1"/>
    <s v="Standard"/>
    <x v="2"/>
    <x v="1"/>
    <s v="2024-02-29"/>
  </r>
  <r>
    <s v="ORD-1370"/>
    <d v="2024-07-14T00:00:00"/>
    <x v="9"/>
    <x v="3"/>
    <x v="0"/>
    <x v="7"/>
    <x v="2"/>
    <x v="4"/>
    <x v="17"/>
    <n v="9"/>
    <n v="800"/>
    <n v="15"/>
    <n v="6120"/>
    <n v="0.11764705882352941"/>
    <n v="600"/>
    <n v="5400"/>
    <n v="720"/>
    <x v="1"/>
    <s v="Standard"/>
    <x v="4"/>
    <x v="1"/>
    <s v="2024-07-14"/>
  </r>
  <r>
    <s v="ORD-1371"/>
    <d v="2024-05-17T00:00:00"/>
    <x v="4"/>
    <x v="1"/>
    <x v="0"/>
    <x v="3"/>
    <x v="0"/>
    <x v="2"/>
    <x v="23"/>
    <n v="3"/>
    <n v="2500"/>
    <n v="25"/>
    <n v="5625"/>
    <n v="0.36"/>
    <n v="1200"/>
    <n v="3600"/>
    <n v="2025"/>
    <x v="1"/>
    <s v="Standard"/>
    <x v="1"/>
    <x v="1"/>
    <s v="2024-05-17"/>
  </r>
  <r>
    <s v="ORD-1372"/>
    <d v="2024-10-28T00:00:00"/>
    <x v="1"/>
    <x v="0"/>
    <x v="0"/>
    <x v="1"/>
    <x v="0"/>
    <x v="4"/>
    <x v="12"/>
    <n v="14"/>
    <n v="1200"/>
    <n v="20"/>
    <n v="13440"/>
    <n v="6.25E-2"/>
    <n v="900"/>
    <n v="12600"/>
    <n v="840"/>
    <x v="1"/>
    <s v="Standard"/>
    <x v="1"/>
    <x v="3"/>
    <s v="2024-10-28"/>
  </r>
  <r>
    <s v="ORD-1373"/>
    <d v="2024-08-31T00:00:00"/>
    <x v="11"/>
    <x v="3"/>
    <x v="0"/>
    <x v="2"/>
    <x v="7"/>
    <x v="4"/>
    <x v="17"/>
    <n v="17"/>
    <n v="800"/>
    <n v="20"/>
    <n v="10880"/>
    <n v="6.25E-2"/>
    <n v="600"/>
    <n v="10200"/>
    <n v="680"/>
    <x v="0"/>
    <s v="Standard"/>
    <x v="3"/>
    <x v="4"/>
    <s v="2024-08-31"/>
  </r>
  <r>
    <s v="ORD-1374"/>
    <d v="2024-08-17T00:00:00"/>
    <x v="11"/>
    <x v="3"/>
    <x v="0"/>
    <x v="6"/>
    <x v="2"/>
    <x v="2"/>
    <x v="20"/>
    <n v="5"/>
    <n v="3500"/>
    <n v="0"/>
    <n v="17500"/>
    <n v="0.48571428571428571"/>
    <n v="1800"/>
    <n v="9000"/>
    <n v="8500"/>
    <x v="1"/>
    <s v="Standard"/>
    <x v="3"/>
    <x v="2"/>
    <s v="2024-08-17"/>
  </r>
  <r>
    <s v="ORD-1375"/>
    <d v="2024-08-10T00:00:00"/>
    <x v="11"/>
    <x v="3"/>
    <x v="0"/>
    <x v="1"/>
    <x v="2"/>
    <x v="3"/>
    <x v="10"/>
    <n v="11"/>
    <n v="1500"/>
    <n v="25"/>
    <n v="12375"/>
    <n v="0.28888888888888886"/>
    <n v="800"/>
    <n v="8800"/>
    <n v="3575"/>
    <x v="0"/>
    <s v="Standard"/>
    <x v="3"/>
    <x v="1"/>
    <s v="2024-08-10"/>
  </r>
  <r>
    <s v="ORD-1376"/>
    <d v="2024-07-22T00:00:00"/>
    <x v="9"/>
    <x v="3"/>
    <x v="0"/>
    <x v="4"/>
    <x v="4"/>
    <x v="0"/>
    <x v="19"/>
    <n v="15"/>
    <n v="15000"/>
    <n v="0"/>
    <n v="225000"/>
    <n v="0.33333333333333331"/>
    <n v="10000"/>
    <n v="150000"/>
    <n v="75000"/>
    <x v="1"/>
    <s v="High Value"/>
    <x v="3"/>
    <x v="1"/>
    <s v="2024-07-22"/>
  </r>
  <r>
    <s v="ORD-1377"/>
    <d v="2024-03-16T00:00:00"/>
    <x v="5"/>
    <x v="2"/>
    <x v="0"/>
    <x v="3"/>
    <x v="7"/>
    <x v="1"/>
    <x v="18"/>
    <n v="4"/>
    <n v="15000"/>
    <n v="10"/>
    <n v="54000"/>
    <n v="0.25925925925925924"/>
    <n v="10000"/>
    <n v="40000"/>
    <n v="14000"/>
    <x v="1"/>
    <s v="Standard"/>
    <x v="5"/>
    <x v="1"/>
    <s v="2024-03-16"/>
  </r>
  <r>
    <s v="ORD-1378"/>
    <d v="2024-12-01T00:00:00"/>
    <x v="7"/>
    <x v="0"/>
    <x v="0"/>
    <x v="9"/>
    <x v="6"/>
    <x v="1"/>
    <x v="16"/>
    <n v="9"/>
    <n v="85000"/>
    <n v="15"/>
    <n v="650250"/>
    <n v="0.10034602076124567"/>
    <n v="65000"/>
    <n v="585000"/>
    <n v="65250"/>
    <x v="0"/>
    <s v="Standard"/>
    <x v="1"/>
    <x v="0"/>
    <s v="2024-12-01"/>
  </r>
  <r>
    <s v="ORD-1379"/>
    <d v="2024-12-21T00:00:00"/>
    <x v="7"/>
    <x v="0"/>
    <x v="0"/>
    <x v="5"/>
    <x v="0"/>
    <x v="4"/>
    <x v="13"/>
    <n v="8"/>
    <n v="400"/>
    <n v="0"/>
    <n v="3200"/>
    <n v="0.3"/>
    <n v="280"/>
    <n v="2240"/>
    <n v="960"/>
    <x v="1"/>
    <s v="Standard"/>
    <x v="4"/>
    <x v="3"/>
    <s v="2024-12-21"/>
  </r>
  <r>
    <s v="ORD-1380"/>
    <d v="2024-01-11T00:00:00"/>
    <x v="10"/>
    <x v="2"/>
    <x v="0"/>
    <x v="7"/>
    <x v="3"/>
    <x v="0"/>
    <x v="21"/>
    <n v="16"/>
    <n v="5000"/>
    <n v="25"/>
    <n v="60000"/>
    <n v="0.2"/>
    <n v="3000"/>
    <n v="48000"/>
    <n v="12000"/>
    <x v="0"/>
    <s v="Standard"/>
    <x v="2"/>
    <x v="1"/>
    <s v="2024-01-11"/>
  </r>
  <r>
    <s v="ORD-1381"/>
    <d v="2024-08-14T00:00:00"/>
    <x v="11"/>
    <x v="3"/>
    <x v="0"/>
    <x v="7"/>
    <x v="3"/>
    <x v="4"/>
    <x v="12"/>
    <n v="3"/>
    <n v="1200"/>
    <n v="5"/>
    <n v="3420"/>
    <n v="0.21052631578947367"/>
    <n v="900"/>
    <n v="2700"/>
    <n v="720"/>
    <x v="1"/>
    <s v="Standard"/>
    <x v="2"/>
    <x v="4"/>
    <s v="2024-08-14"/>
  </r>
  <r>
    <s v="ORD-1382"/>
    <d v="2024-07-27T00:00:00"/>
    <x v="9"/>
    <x v="3"/>
    <x v="0"/>
    <x v="9"/>
    <x v="4"/>
    <x v="1"/>
    <x v="18"/>
    <n v="6"/>
    <n v="15000"/>
    <n v="0"/>
    <n v="90000"/>
    <n v="0.33333333333333331"/>
    <n v="10000"/>
    <n v="60000"/>
    <n v="30000"/>
    <x v="1"/>
    <s v="High Value"/>
    <x v="0"/>
    <x v="1"/>
    <s v="2024-07-27"/>
  </r>
  <r>
    <s v="ORD-1383"/>
    <d v="2024-03-10T00:00:00"/>
    <x v="5"/>
    <x v="2"/>
    <x v="0"/>
    <x v="4"/>
    <x v="0"/>
    <x v="2"/>
    <x v="20"/>
    <n v="7"/>
    <n v="3500"/>
    <n v="0"/>
    <n v="24500"/>
    <n v="0.48571428571428571"/>
    <n v="1800"/>
    <n v="12600"/>
    <n v="11900"/>
    <x v="0"/>
    <s v="Standard"/>
    <x v="3"/>
    <x v="1"/>
    <s v="2024-03-10"/>
  </r>
  <r>
    <s v="ORD-1384"/>
    <d v="2024-07-03T00:00:00"/>
    <x v="9"/>
    <x v="3"/>
    <x v="0"/>
    <x v="1"/>
    <x v="3"/>
    <x v="0"/>
    <x v="6"/>
    <n v="17"/>
    <n v="12000"/>
    <n v="15"/>
    <n v="173400"/>
    <n v="0.21568627450980393"/>
    <n v="8000"/>
    <n v="136000"/>
    <n v="37400"/>
    <x v="0"/>
    <s v="Standard"/>
    <x v="0"/>
    <x v="1"/>
    <s v="2024-07-03"/>
  </r>
  <r>
    <s v="ORD-1385"/>
    <d v="2024-07-09T00:00:00"/>
    <x v="9"/>
    <x v="3"/>
    <x v="0"/>
    <x v="9"/>
    <x v="6"/>
    <x v="2"/>
    <x v="2"/>
    <n v="19"/>
    <n v="6000"/>
    <n v="20"/>
    <n v="91200"/>
    <n v="0.27083333333333331"/>
    <n v="3500"/>
    <n v="66500"/>
    <n v="24700"/>
    <x v="1"/>
    <s v="Standard"/>
    <x v="4"/>
    <x v="1"/>
    <s v="2024-07-09"/>
  </r>
  <r>
    <s v="ORD-1386"/>
    <d v="2024-05-12T00:00:00"/>
    <x v="4"/>
    <x v="1"/>
    <x v="0"/>
    <x v="0"/>
    <x v="3"/>
    <x v="1"/>
    <x v="4"/>
    <n v="2"/>
    <n v="5000"/>
    <n v="5"/>
    <n v="9500"/>
    <n v="0.36842105263157893"/>
    <n v="3000"/>
    <n v="6000"/>
    <n v="3500"/>
    <x v="0"/>
    <s v="Standard"/>
    <x v="2"/>
    <x v="0"/>
    <s v="2024-05-12"/>
  </r>
  <r>
    <s v="ORD-1387"/>
    <d v="2024-12-12T00:00:00"/>
    <x v="7"/>
    <x v="0"/>
    <x v="0"/>
    <x v="1"/>
    <x v="3"/>
    <x v="4"/>
    <x v="12"/>
    <n v="1"/>
    <n v="1200"/>
    <n v="25"/>
    <n v="900"/>
    <n v="0"/>
    <n v="900"/>
    <n v="900"/>
    <n v="0"/>
    <x v="0"/>
    <s v="Standard"/>
    <x v="5"/>
    <x v="4"/>
    <s v="2024-12-12"/>
  </r>
  <r>
    <s v="ORD-1388"/>
    <d v="2024-11-27T00:00:00"/>
    <x v="0"/>
    <x v="0"/>
    <x v="0"/>
    <x v="6"/>
    <x v="0"/>
    <x v="2"/>
    <x v="3"/>
    <n v="20"/>
    <n v="3000"/>
    <n v="10"/>
    <n v="54000"/>
    <n v="0.44444444444444442"/>
    <n v="1500"/>
    <n v="30000"/>
    <n v="24000"/>
    <x v="1"/>
    <s v="Standard"/>
    <x v="5"/>
    <x v="3"/>
    <s v="2024-11-27"/>
  </r>
  <r>
    <s v="ORD-1389"/>
    <d v="2024-06-27T00:00:00"/>
    <x v="2"/>
    <x v="1"/>
    <x v="0"/>
    <x v="9"/>
    <x v="3"/>
    <x v="2"/>
    <x v="2"/>
    <n v="10"/>
    <n v="6000"/>
    <n v="25"/>
    <n v="45000"/>
    <n v="0.22222222222222221"/>
    <n v="3500"/>
    <n v="35000"/>
    <n v="10000"/>
    <x v="1"/>
    <s v="Standard"/>
    <x v="1"/>
    <x v="1"/>
    <s v="2024-06-27"/>
  </r>
  <r>
    <s v="ORD-1390"/>
    <d v="2024-09-18T00:00:00"/>
    <x v="8"/>
    <x v="3"/>
    <x v="0"/>
    <x v="7"/>
    <x v="3"/>
    <x v="0"/>
    <x v="7"/>
    <n v="16"/>
    <n v="18000"/>
    <n v="0"/>
    <n v="288000"/>
    <n v="0.33333333333333331"/>
    <n v="12000"/>
    <n v="192000"/>
    <n v="96000"/>
    <x v="1"/>
    <s v="High Value"/>
    <x v="4"/>
    <x v="0"/>
    <s v="2024-09-18"/>
  </r>
  <r>
    <s v="ORD-1391"/>
    <d v="2024-05-21T00:00:00"/>
    <x v="4"/>
    <x v="1"/>
    <x v="0"/>
    <x v="2"/>
    <x v="3"/>
    <x v="2"/>
    <x v="20"/>
    <n v="17"/>
    <n v="3500"/>
    <n v="5"/>
    <n v="56525"/>
    <n v="0.45864661654135336"/>
    <n v="1800"/>
    <n v="30600"/>
    <n v="25925"/>
    <x v="0"/>
    <s v="High Value"/>
    <x v="1"/>
    <x v="1"/>
    <s v="2024-05-21"/>
  </r>
  <r>
    <s v="ORD-1392"/>
    <d v="2024-06-12T00:00:00"/>
    <x v="2"/>
    <x v="1"/>
    <x v="0"/>
    <x v="6"/>
    <x v="0"/>
    <x v="4"/>
    <x v="13"/>
    <n v="9"/>
    <n v="400"/>
    <n v="15"/>
    <n v="3060"/>
    <n v="0.17647058823529413"/>
    <n v="280"/>
    <n v="2520"/>
    <n v="540"/>
    <x v="1"/>
    <s v="Standard"/>
    <x v="5"/>
    <x v="0"/>
    <s v="2024-06-12"/>
  </r>
  <r>
    <s v="ORD-1393"/>
    <d v="2024-10-25T00:00:00"/>
    <x v="1"/>
    <x v="0"/>
    <x v="0"/>
    <x v="3"/>
    <x v="5"/>
    <x v="0"/>
    <x v="0"/>
    <n v="18"/>
    <n v="3500"/>
    <n v="25"/>
    <n v="47250"/>
    <n v="0.23809523809523808"/>
    <n v="2000"/>
    <n v="36000"/>
    <n v="11250"/>
    <x v="1"/>
    <s v="Standard"/>
    <x v="0"/>
    <x v="1"/>
    <s v="2024-10-25"/>
  </r>
  <r>
    <s v="ORD-1394"/>
    <d v="2024-06-02T00:00:00"/>
    <x v="2"/>
    <x v="1"/>
    <x v="0"/>
    <x v="6"/>
    <x v="2"/>
    <x v="0"/>
    <x v="7"/>
    <n v="16"/>
    <n v="18000"/>
    <n v="5"/>
    <n v="273600"/>
    <n v="0.2982456140350877"/>
    <n v="12000"/>
    <n v="192000"/>
    <n v="81600"/>
    <x v="1"/>
    <s v="High Value"/>
    <x v="0"/>
    <x v="3"/>
    <s v="2024-06-02"/>
  </r>
  <r>
    <s v="ORD-1395"/>
    <d v="2024-04-03T00:00:00"/>
    <x v="3"/>
    <x v="1"/>
    <x v="0"/>
    <x v="7"/>
    <x v="7"/>
    <x v="2"/>
    <x v="3"/>
    <n v="8"/>
    <n v="3000"/>
    <n v="25"/>
    <n v="18000"/>
    <n v="0.33333333333333331"/>
    <n v="1500"/>
    <n v="12000"/>
    <n v="6000"/>
    <x v="1"/>
    <s v="Standard"/>
    <x v="5"/>
    <x v="3"/>
    <s v="2024-04-03"/>
  </r>
  <r>
    <s v="ORD-1396"/>
    <d v="2024-06-18T00:00:00"/>
    <x v="2"/>
    <x v="1"/>
    <x v="0"/>
    <x v="7"/>
    <x v="3"/>
    <x v="3"/>
    <x v="10"/>
    <n v="15"/>
    <n v="1500"/>
    <n v="0"/>
    <n v="22500"/>
    <n v="0.46666666666666667"/>
    <n v="800"/>
    <n v="12000"/>
    <n v="10500"/>
    <x v="1"/>
    <s v="Standard"/>
    <x v="3"/>
    <x v="3"/>
    <s v="2024-06-18"/>
  </r>
  <r>
    <s v="ORD-1397"/>
    <d v="2024-10-25T00:00:00"/>
    <x v="1"/>
    <x v="0"/>
    <x v="0"/>
    <x v="3"/>
    <x v="7"/>
    <x v="4"/>
    <x v="22"/>
    <n v="17"/>
    <n v="1500"/>
    <n v="0"/>
    <n v="25500"/>
    <n v="0.26666666666666666"/>
    <n v="1100"/>
    <n v="18700"/>
    <n v="6800"/>
    <x v="1"/>
    <s v="Standard"/>
    <x v="1"/>
    <x v="1"/>
    <s v="2024-10-25"/>
  </r>
  <r>
    <s v="ORD-1398"/>
    <d v="2024-01-28T00:00:00"/>
    <x v="10"/>
    <x v="2"/>
    <x v="0"/>
    <x v="6"/>
    <x v="2"/>
    <x v="2"/>
    <x v="3"/>
    <n v="14"/>
    <n v="3000"/>
    <n v="20"/>
    <n v="33600"/>
    <n v="0.375"/>
    <n v="1500"/>
    <n v="21000"/>
    <n v="12600"/>
    <x v="1"/>
    <s v="Standard"/>
    <x v="2"/>
    <x v="1"/>
    <s v="2024-01-28"/>
  </r>
  <r>
    <s v="ORD-1399"/>
    <d v="2024-04-02T00:00:00"/>
    <x v="3"/>
    <x v="1"/>
    <x v="0"/>
    <x v="0"/>
    <x v="6"/>
    <x v="0"/>
    <x v="0"/>
    <n v="11"/>
    <n v="3500"/>
    <n v="25"/>
    <n v="28875"/>
    <n v="0.23809523809523808"/>
    <n v="2000"/>
    <n v="22000"/>
    <n v="6875"/>
    <x v="0"/>
    <s v="Standard"/>
    <x v="3"/>
    <x v="1"/>
    <s v="2024-04-02"/>
  </r>
  <r>
    <s v="ORD-1400"/>
    <d v="2024-04-17T00:00:00"/>
    <x v="3"/>
    <x v="1"/>
    <x v="0"/>
    <x v="6"/>
    <x v="2"/>
    <x v="4"/>
    <x v="17"/>
    <n v="5"/>
    <n v="800"/>
    <n v="20"/>
    <n v="3200"/>
    <n v="6.25E-2"/>
    <n v="600"/>
    <n v="3000"/>
    <n v="200"/>
    <x v="1"/>
    <s v="Standard"/>
    <x v="0"/>
    <x v="1"/>
    <s v="2024-04-17"/>
  </r>
  <r>
    <s v="ORD-1401"/>
    <d v="2024-08-07T00:00:00"/>
    <x v="11"/>
    <x v="3"/>
    <x v="0"/>
    <x v="9"/>
    <x v="1"/>
    <x v="1"/>
    <x v="1"/>
    <n v="18"/>
    <n v="25000"/>
    <n v="5"/>
    <n v="427500"/>
    <n v="0.24210526315789474"/>
    <n v="18000"/>
    <n v="324000"/>
    <n v="103500"/>
    <x v="1"/>
    <s v="High Value"/>
    <x v="3"/>
    <x v="3"/>
    <s v="2024-08-07"/>
  </r>
  <r>
    <s v="ORD-1402"/>
    <d v="2024-09-28T00:00:00"/>
    <x v="8"/>
    <x v="3"/>
    <x v="0"/>
    <x v="1"/>
    <x v="0"/>
    <x v="1"/>
    <x v="16"/>
    <n v="8"/>
    <n v="85000"/>
    <n v="25"/>
    <n v="510000"/>
    <n v="-1.9607843137254902E-2"/>
    <n v="65000"/>
    <n v="520000"/>
    <n v="-10000"/>
    <x v="1"/>
    <s v="Standard"/>
    <x v="4"/>
    <x v="1"/>
    <s v="2024-09-28"/>
  </r>
  <r>
    <s v="ORD-1403"/>
    <d v="2024-07-15T00:00:00"/>
    <x v="9"/>
    <x v="3"/>
    <x v="0"/>
    <x v="4"/>
    <x v="3"/>
    <x v="2"/>
    <x v="23"/>
    <n v="2"/>
    <n v="2500"/>
    <n v="10"/>
    <n v="4500"/>
    <n v="0.46666666666666667"/>
    <n v="1200"/>
    <n v="2400"/>
    <n v="2100"/>
    <x v="1"/>
    <s v="Standard"/>
    <x v="5"/>
    <x v="0"/>
    <s v="2024-07-15"/>
  </r>
  <r>
    <s v="ORD-1404"/>
    <d v="2024-11-01T00:00:00"/>
    <x v="0"/>
    <x v="0"/>
    <x v="0"/>
    <x v="4"/>
    <x v="4"/>
    <x v="4"/>
    <x v="22"/>
    <n v="11"/>
    <n v="1500"/>
    <n v="15"/>
    <n v="14025"/>
    <n v="0.13725490196078433"/>
    <n v="1100"/>
    <n v="12100"/>
    <n v="1925"/>
    <x v="1"/>
    <s v="Standard"/>
    <x v="2"/>
    <x v="1"/>
    <s v="2024-11-01"/>
  </r>
  <r>
    <s v="ORD-1405"/>
    <d v="2024-07-25T00:00:00"/>
    <x v="9"/>
    <x v="3"/>
    <x v="0"/>
    <x v="8"/>
    <x v="5"/>
    <x v="2"/>
    <x v="20"/>
    <n v="7"/>
    <n v="3500"/>
    <n v="25"/>
    <n v="18375"/>
    <n v="0.31428571428571428"/>
    <n v="1800"/>
    <n v="12600"/>
    <n v="5775"/>
    <x v="0"/>
    <s v="Standard"/>
    <x v="1"/>
    <x v="1"/>
    <s v="2024-07-25"/>
  </r>
  <r>
    <s v="ORD-1406"/>
    <d v="2024-03-04T00:00:00"/>
    <x v="5"/>
    <x v="2"/>
    <x v="0"/>
    <x v="7"/>
    <x v="0"/>
    <x v="4"/>
    <x v="13"/>
    <n v="18"/>
    <n v="400"/>
    <n v="20"/>
    <n v="5760"/>
    <n v="0.125"/>
    <n v="280"/>
    <n v="5040"/>
    <n v="720"/>
    <x v="0"/>
    <s v="Standard"/>
    <x v="1"/>
    <x v="2"/>
    <s v="2024-03-04"/>
  </r>
  <r>
    <s v="ORD-1407"/>
    <d v="2024-12-04T00:00:00"/>
    <x v="7"/>
    <x v="0"/>
    <x v="0"/>
    <x v="0"/>
    <x v="0"/>
    <x v="1"/>
    <x v="1"/>
    <n v="14"/>
    <n v="25000"/>
    <n v="15"/>
    <n v="297500"/>
    <n v="0.15294117647058825"/>
    <n v="18000"/>
    <n v="252000"/>
    <n v="45500"/>
    <x v="1"/>
    <s v="Standard"/>
    <x v="3"/>
    <x v="1"/>
    <s v="2024-12-04"/>
  </r>
  <r>
    <s v="ORD-1408"/>
    <d v="2024-08-30T00:00:00"/>
    <x v="11"/>
    <x v="3"/>
    <x v="0"/>
    <x v="6"/>
    <x v="5"/>
    <x v="1"/>
    <x v="24"/>
    <n v="14"/>
    <n v="35000"/>
    <n v="25"/>
    <n v="367500"/>
    <n v="9.5238095238095247E-3"/>
    <n v="26000"/>
    <n v="364000"/>
    <n v="3500"/>
    <x v="0"/>
    <s v="Standard"/>
    <x v="0"/>
    <x v="1"/>
    <s v="2024-08-30"/>
  </r>
  <r>
    <s v="ORD-1409"/>
    <d v="2024-11-14T00:00:00"/>
    <x v="0"/>
    <x v="0"/>
    <x v="0"/>
    <x v="3"/>
    <x v="2"/>
    <x v="4"/>
    <x v="17"/>
    <n v="17"/>
    <n v="800"/>
    <n v="25"/>
    <n v="10200"/>
    <n v="0"/>
    <n v="600"/>
    <n v="10200"/>
    <n v="0"/>
    <x v="0"/>
    <s v="Standard"/>
    <x v="4"/>
    <x v="1"/>
    <s v="2024-11-14"/>
  </r>
  <r>
    <s v="ORD-1410"/>
    <d v="2024-02-24T00:00:00"/>
    <x v="6"/>
    <x v="2"/>
    <x v="0"/>
    <x v="9"/>
    <x v="5"/>
    <x v="3"/>
    <x v="5"/>
    <n v="9"/>
    <n v="2000"/>
    <n v="20"/>
    <n v="14400"/>
    <n v="0.25"/>
    <n v="1200"/>
    <n v="10800"/>
    <n v="3600"/>
    <x v="0"/>
    <s v="Standard"/>
    <x v="4"/>
    <x v="0"/>
    <s v="2024-02-24"/>
  </r>
  <r>
    <s v="ORD-1411"/>
    <d v="2024-05-31T00:00:00"/>
    <x v="4"/>
    <x v="1"/>
    <x v="0"/>
    <x v="6"/>
    <x v="0"/>
    <x v="3"/>
    <x v="8"/>
    <n v="7"/>
    <n v="8000"/>
    <n v="25"/>
    <n v="42000"/>
    <n v="0.16666666666666666"/>
    <n v="5000"/>
    <n v="35000"/>
    <n v="7000"/>
    <x v="1"/>
    <s v="Standard"/>
    <x v="4"/>
    <x v="1"/>
    <s v="2024-05-31"/>
  </r>
  <r>
    <s v="ORD-1412"/>
    <d v="2024-01-07T00:00:00"/>
    <x v="10"/>
    <x v="2"/>
    <x v="0"/>
    <x v="0"/>
    <x v="7"/>
    <x v="3"/>
    <x v="8"/>
    <n v="5"/>
    <n v="8000"/>
    <n v="0"/>
    <n v="40000"/>
    <n v="0.375"/>
    <n v="5000"/>
    <n v="25000"/>
    <n v="15000"/>
    <x v="0"/>
    <s v="Standard"/>
    <x v="0"/>
    <x v="0"/>
    <s v="2024-01-07"/>
  </r>
  <r>
    <s v="ORD-1413"/>
    <d v="2024-05-11T00:00:00"/>
    <x v="4"/>
    <x v="1"/>
    <x v="0"/>
    <x v="1"/>
    <x v="6"/>
    <x v="0"/>
    <x v="21"/>
    <n v="15"/>
    <n v="5000"/>
    <n v="0"/>
    <n v="75000"/>
    <n v="0.4"/>
    <n v="3000"/>
    <n v="45000"/>
    <n v="30000"/>
    <x v="0"/>
    <s v="High Value"/>
    <x v="2"/>
    <x v="3"/>
    <s v="2024-05-11"/>
  </r>
  <r>
    <s v="ORD-1414"/>
    <d v="2024-05-28T00:00:00"/>
    <x v="4"/>
    <x v="1"/>
    <x v="0"/>
    <x v="7"/>
    <x v="4"/>
    <x v="4"/>
    <x v="17"/>
    <n v="4"/>
    <n v="800"/>
    <n v="0"/>
    <n v="3200"/>
    <n v="0.25"/>
    <n v="600"/>
    <n v="2400"/>
    <n v="800"/>
    <x v="0"/>
    <s v="Standard"/>
    <x v="2"/>
    <x v="0"/>
    <s v="2024-05-28"/>
  </r>
  <r>
    <s v="ORD-1415"/>
    <d v="2024-03-28T00:00:00"/>
    <x v="5"/>
    <x v="2"/>
    <x v="0"/>
    <x v="7"/>
    <x v="4"/>
    <x v="4"/>
    <x v="12"/>
    <n v="9"/>
    <n v="1200"/>
    <n v="25"/>
    <n v="8100"/>
    <n v="0"/>
    <n v="900"/>
    <n v="8100"/>
    <n v="0"/>
    <x v="0"/>
    <s v="Standard"/>
    <x v="4"/>
    <x v="3"/>
    <s v="2024-03-28"/>
  </r>
  <r>
    <s v="ORD-1416"/>
    <d v="2024-04-03T00:00:00"/>
    <x v="3"/>
    <x v="1"/>
    <x v="0"/>
    <x v="0"/>
    <x v="1"/>
    <x v="4"/>
    <x v="15"/>
    <n v="9"/>
    <n v="700"/>
    <n v="15"/>
    <n v="5355"/>
    <n v="0.15966386554621848"/>
    <n v="500"/>
    <n v="4500"/>
    <n v="855"/>
    <x v="1"/>
    <s v="Standard"/>
    <x v="5"/>
    <x v="0"/>
    <s v="2024-04-03"/>
  </r>
  <r>
    <s v="ORD-1417"/>
    <d v="2024-03-26T00:00:00"/>
    <x v="5"/>
    <x v="2"/>
    <x v="0"/>
    <x v="0"/>
    <x v="2"/>
    <x v="1"/>
    <x v="16"/>
    <n v="4"/>
    <n v="85000"/>
    <n v="15"/>
    <n v="289000"/>
    <n v="0.10034602076124567"/>
    <n v="65000"/>
    <n v="260000"/>
    <n v="29000"/>
    <x v="1"/>
    <s v="Standard"/>
    <x v="1"/>
    <x v="0"/>
    <s v="2024-03-26"/>
  </r>
  <r>
    <s v="ORD-1418"/>
    <d v="2024-04-02T00:00:00"/>
    <x v="3"/>
    <x v="1"/>
    <x v="0"/>
    <x v="3"/>
    <x v="1"/>
    <x v="0"/>
    <x v="19"/>
    <n v="1"/>
    <n v="15000"/>
    <n v="25"/>
    <n v="11250"/>
    <n v="0.1111111111111111"/>
    <n v="10000"/>
    <n v="10000"/>
    <n v="1250"/>
    <x v="0"/>
    <s v="Standard"/>
    <x v="5"/>
    <x v="4"/>
    <s v="2024-04-02"/>
  </r>
  <r>
    <s v="ORD-1419"/>
    <d v="2024-02-27T00:00:00"/>
    <x v="6"/>
    <x v="2"/>
    <x v="0"/>
    <x v="5"/>
    <x v="6"/>
    <x v="1"/>
    <x v="1"/>
    <n v="9"/>
    <n v="25000"/>
    <n v="25"/>
    <n v="168750"/>
    <n v="0.04"/>
    <n v="18000"/>
    <n v="162000"/>
    <n v="6750"/>
    <x v="1"/>
    <s v="Standard"/>
    <x v="3"/>
    <x v="0"/>
    <s v="2024-02-27"/>
  </r>
  <r>
    <s v="ORD-1420"/>
    <d v="2024-12-13T00:00:00"/>
    <x v="7"/>
    <x v="0"/>
    <x v="0"/>
    <x v="4"/>
    <x v="5"/>
    <x v="0"/>
    <x v="19"/>
    <n v="17"/>
    <n v="15000"/>
    <n v="25"/>
    <n v="191250"/>
    <n v="0.1111111111111111"/>
    <n v="10000"/>
    <n v="170000"/>
    <n v="21250"/>
    <x v="0"/>
    <s v="Standard"/>
    <x v="5"/>
    <x v="0"/>
    <s v="2024-12-13"/>
  </r>
  <r>
    <s v="ORD-1421"/>
    <d v="2024-05-07T00:00:00"/>
    <x v="4"/>
    <x v="1"/>
    <x v="0"/>
    <x v="9"/>
    <x v="4"/>
    <x v="4"/>
    <x v="22"/>
    <n v="18"/>
    <n v="1500"/>
    <n v="20"/>
    <n v="21600"/>
    <n v="8.3333333333333329E-2"/>
    <n v="1100"/>
    <n v="19800"/>
    <n v="1800"/>
    <x v="0"/>
    <s v="Standard"/>
    <x v="3"/>
    <x v="0"/>
    <s v="2024-05-07"/>
  </r>
  <r>
    <s v="ORD-1422"/>
    <d v="2024-03-21T00:00:00"/>
    <x v="5"/>
    <x v="2"/>
    <x v="0"/>
    <x v="4"/>
    <x v="6"/>
    <x v="4"/>
    <x v="22"/>
    <n v="3"/>
    <n v="1500"/>
    <n v="15"/>
    <n v="3825"/>
    <n v="0.13725490196078433"/>
    <n v="1100"/>
    <n v="3300"/>
    <n v="525"/>
    <x v="1"/>
    <s v="Standard"/>
    <x v="2"/>
    <x v="1"/>
    <s v="2024-03-21"/>
  </r>
  <r>
    <s v="ORD-1423"/>
    <d v="2024-05-22T00:00:00"/>
    <x v="4"/>
    <x v="1"/>
    <x v="0"/>
    <x v="8"/>
    <x v="5"/>
    <x v="3"/>
    <x v="8"/>
    <n v="13"/>
    <n v="8000"/>
    <n v="5"/>
    <n v="98800"/>
    <n v="0.34210526315789475"/>
    <n v="5000"/>
    <n v="65000"/>
    <n v="33800"/>
    <x v="0"/>
    <s v="High Value"/>
    <x v="5"/>
    <x v="1"/>
    <s v="2024-05-22"/>
  </r>
  <r>
    <s v="ORD-1424"/>
    <d v="2024-10-20T00:00:00"/>
    <x v="1"/>
    <x v="0"/>
    <x v="0"/>
    <x v="9"/>
    <x v="7"/>
    <x v="4"/>
    <x v="15"/>
    <n v="11"/>
    <n v="700"/>
    <n v="0"/>
    <n v="7700"/>
    <n v="0.2857142857142857"/>
    <n v="500"/>
    <n v="5500"/>
    <n v="2200"/>
    <x v="1"/>
    <s v="Standard"/>
    <x v="0"/>
    <x v="0"/>
    <s v="2024-10-20"/>
  </r>
  <r>
    <s v="ORD-1425"/>
    <d v="2024-02-22T00:00:00"/>
    <x v="6"/>
    <x v="2"/>
    <x v="0"/>
    <x v="5"/>
    <x v="1"/>
    <x v="1"/>
    <x v="18"/>
    <n v="18"/>
    <n v="15000"/>
    <n v="0"/>
    <n v="270000"/>
    <n v="0.33333333333333331"/>
    <n v="10000"/>
    <n v="180000"/>
    <n v="90000"/>
    <x v="0"/>
    <s v="High Value"/>
    <x v="1"/>
    <x v="4"/>
    <s v="2024-02-22"/>
  </r>
  <r>
    <s v="ORD-1426"/>
    <d v="2024-11-22T00:00:00"/>
    <x v="0"/>
    <x v="0"/>
    <x v="0"/>
    <x v="2"/>
    <x v="5"/>
    <x v="4"/>
    <x v="13"/>
    <n v="12"/>
    <n v="400"/>
    <n v="0"/>
    <n v="4800"/>
    <n v="0.3"/>
    <n v="280"/>
    <n v="3360"/>
    <n v="1440"/>
    <x v="0"/>
    <s v="Standard"/>
    <x v="5"/>
    <x v="1"/>
    <s v="2024-11-22"/>
  </r>
  <r>
    <s v="ORD-1427"/>
    <d v="2024-11-13T00:00:00"/>
    <x v="0"/>
    <x v="0"/>
    <x v="0"/>
    <x v="3"/>
    <x v="6"/>
    <x v="0"/>
    <x v="6"/>
    <n v="4"/>
    <n v="12000"/>
    <n v="0"/>
    <n v="48000"/>
    <n v="0.33333333333333331"/>
    <n v="8000"/>
    <n v="32000"/>
    <n v="16000"/>
    <x v="0"/>
    <s v="Standard"/>
    <x v="3"/>
    <x v="1"/>
    <s v="2024-11-13"/>
  </r>
  <r>
    <s v="ORD-1428"/>
    <d v="2024-11-20T00:00:00"/>
    <x v="0"/>
    <x v="0"/>
    <x v="0"/>
    <x v="2"/>
    <x v="4"/>
    <x v="1"/>
    <x v="1"/>
    <n v="6"/>
    <n v="25000"/>
    <n v="15"/>
    <n v="127500"/>
    <n v="0.15294117647058825"/>
    <n v="18000"/>
    <n v="108000"/>
    <n v="19500"/>
    <x v="0"/>
    <s v="Standard"/>
    <x v="0"/>
    <x v="0"/>
    <s v="2024-11-20"/>
  </r>
  <r>
    <s v="ORD-1429"/>
    <d v="2024-07-28T00:00:00"/>
    <x v="9"/>
    <x v="3"/>
    <x v="0"/>
    <x v="0"/>
    <x v="3"/>
    <x v="3"/>
    <x v="5"/>
    <n v="7"/>
    <n v="2000"/>
    <n v="0"/>
    <n v="14000"/>
    <n v="0.4"/>
    <n v="1200"/>
    <n v="8400"/>
    <n v="5600"/>
    <x v="1"/>
    <s v="Standard"/>
    <x v="2"/>
    <x v="1"/>
    <s v="2024-07-28"/>
  </r>
  <r>
    <s v="ORD-1430"/>
    <d v="2024-04-07T00:00:00"/>
    <x v="3"/>
    <x v="1"/>
    <x v="0"/>
    <x v="7"/>
    <x v="7"/>
    <x v="4"/>
    <x v="17"/>
    <n v="19"/>
    <n v="800"/>
    <n v="0"/>
    <n v="15200"/>
    <n v="0.25"/>
    <n v="600"/>
    <n v="11400"/>
    <n v="3800"/>
    <x v="1"/>
    <s v="Standard"/>
    <x v="5"/>
    <x v="0"/>
    <s v="2024-04-07"/>
  </r>
  <r>
    <s v="ORD-1431"/>
    <d v="2024-09-15T00:00:00"/>
    <x v="8"/>
    <x v="3"/>
    <x v="0"/>
    <x v="6"/>
    <x v="6"/>
    <x v="1"/>
    <x v="18"/>
    <n v="2"/>
    <n v="15000"/>
    <n v="20"/>
    <n v="24000"/>
    <n v="0.16666666666666666"/>
    <n v="10000"/>
    <n v="20000"/>
    <n v="4000"/>
    <x v="1"/>
    <s v="Standard"/>
    <x v="1"/>
    <x v="1"/>
    <s v="2024-09-15"/>
  </r>
  <r>
    <s v="ORD-1432"/>
    <d v="2024-09-17T00:00:00"/>
    <x v="8"/>
    <x v="3"/>
    <x v="0"/>
    <x v="6"/>
    <x v="2"/>
    <x v="2"/>
    <x v="23"/>
    <n v="13"/>
    <n v="2500"/>
    <n v="25"/>
    <n v="24375"/>
    <n v="0.36"/>
    <n v="1200"/>
    <n v="15600"/>
    <n v="8775"/>
    <x v="1"/>
    <s v="Standard"/>
    <x v="1"/>
    <x v="3"/>
    <s v="2024-09-17"/>
  </r>
  <r>
    <s v="ORD-1433"/>
    <d v="2024-08-02T00:00:00"/>
    <x v="11"/>
    <x v="3"/>
    <x v="0"/>
    <x v="3"/>
    <x v="5"/>
    <x v="0"/>
    <x v="6"/>
    <n v="11"/>
    <n v="12000"/>
    <n v="10"/>
    <n v="118800"/>
    <n v="0.25925925925925924"/>
    <n v="8000"/>
    <n v="88000"/>
    <n v="30800"/>
    <x v="1"/>
    <s v="Standard"/>
    <x v="2"/>
    <x v="1"/>
    <s v="2024-08-02"/>
  </r>
  <r>
    <s v="ORD-1434"/>
    <d v="2024-11-04T00:00:00"/>
    <x v="0"/>
    <x v="0"/>
    <x v="0"/>
    <x v="4"/>
    <x v="3"/>
    <x v="3"/>
    <x v="10"/>
    <n v="18"/>
    <n v="1500"/>
    <n v="25"/>
    <n v="20250"/>
    <n v="0.28888888888888886"/>
    <n v="800"/>
    <n v="14400"/>
    <n v="5850"/>
    <x v="0"/>
    <s v="Standard"/>
    <x v="2"/>
    <x v="1"/>
    <s v="2024-11-04"/>
  </r>
  <r>
    <s v="ORD-1435"/>
    <d v="2024-05-28T00:00:00"/>
    <x v="4"/>
    <x v="1"/>
    <x v="0"/>
    <x v="7"/>
    <x v="2"/>
    <x v="2"/>
    <x v="11"/>
    <n v="18"/>
    <n v="4500"/>
    <n v="25"/>
    <n v="60750"/>
    <n v="0.25925925925925924"/>
    <n v="2500"/>
    <n v="45000"/>
    <n v="15750"/>
    <x v="1"/>
    <s v="Standard"/>
    <x v="0"/>
    <x v="1"/>
    <s v="2024-05-28"/>
  </r>
  <r>
    <s v="ORD-1436"/>
    <d v="2024-06-29T00:00:00"/>
    <x v="2"/>
    <x v="1"/>
    <x v="0"/>
    <x v="4"/>
    <x v="6"/>
    <x v="3"/>
    <x v="14"/>
    <n v="14"/>
    <n v="1200"/>
    <n v="25"/>
    <n v="12600"/>
    <n v="0.22222222222222221"/>
    <n v="700"/>
    <n v="9800"/>
    <n v="2800"/>
    <x v="1"/>
    <s v="Standard"/>
    <x v="5"/>
    <x v="3"/>
    <s v="2024-06-29"/>
  </r>
  <r>
    <s v="ORD-1437"/>
    <d v="2024-09-24T00:00:00"/>
    <x v="8"/>
    <x v="3"/>
    <x v="0"/>
    <x v="0"/>
    <x v="0"/>
    <x v="4"/>
    <x v="22"/>
    <n v="2"/>
    <n v="1500"/>
    <n v="25"/>
    <n v="2250"/>
    <n v="2.2222222222222223E-2"/>
    <n v="1100"/>
    <n v="2200"/>
    <n v="50"/>
    <x v="0"/>
    <s v="Standard"/>
    <x v="2"/>
    <x v="1"/>
    <s v="2024-09-24"/>
  </r>
  <r>
    <s v="ORD-1438"/>
    <d v="2024-03-23T00:00:00"/>
    <x v="5"/>
    <x v="2"/>
    <x v="0"/>
    <x v="2"/>
    <x v="3"/>
    <x v="2"/>
    <x v="23"/>
    <n v="10"/>
    <n v="2500"/>
    <n v="5"/>
    <n v="23750"/>
    <n v="0.49473684210526314"/>
    <n v="1200"/>
    <n v="12000"/>
    <n v="11750"/>
    <x v="0"/>
    <s v="Standard"/>
    <x v="4"/>
    <x v="3"/>
    <s v="2024-03-23"/>
  </r>
  <r>
    <s v="ORD-1439"/>
    <d v="2024-02-22T00:00:00"/>
    <x v="6"/>
    <x v="2"/>
    <x v="0"/>
    <x v="3"/>
    <x v="5"/>
    <x v="3"/>
    <x v="8"/>
    <n v="8"/>
    <n v="8000"/>
    <n v="20"/>
    <n v="51200"/>
    <n v="0.21875"/>
    <n v="5000"/>
    <n v="40000"/>
    <n v="11200"/>
    <x v="1"/>
    <s v="Standard"/>
    <x v="0"/>
    <x v="0"/>
    <s v="2024-02-22"/>
  </r>
  <r>
    <s v="ORD-1440"/>
    <d v="2024-07-14T00:00:00"/>
    <x v="9"/>
    <x v="3"/>
    <x v="0"/>
    <x v="5"/>
    <x v="1"/>
    <x v="0"/>
    <x v="19"/>
    <n v="2"/>
    <n v="15000"/>
    <n v="0"/>
    <n v="30000"/>
    <n v="0.33333333333333331"/>
    <n v="10000"/>
    <n v="20000"/>
    <n v="10000"/>
    <x v="1"/>
    <s v="Standard"/>
    <x v="2"/>
    <x v="0"/>
    <s v="2024-07-14"/>
  </r>
  <r>
    <s v="ORD-1441"/>
    <d v="2024-08-14T00:00:00"/>
    <x v="11"/>
    <x v="3"/>
    <x v="0"/>
    <x v="1"/>
    <x v="4"/>
    <x v="3"/>
    <x v="14"/>
    <n v="20"/>
    <n v="1200"/>
    <n v="5"/>
    <n v="22800"/>
    <n v="0.38596491228070173"/>
    <n v="700"/>
    <n v="14000"/>
    <n v="8800"/>
    <x v="0"/>
    <s v="Standard"/>
    <x v="4"/>
    <x v="1"/>
    <s v="2024-08-14"/>
  </r>
  <r>
    <s v="ORD-1442"/>
    <d v="2024-12-15T00:00:00"/>
    <x v="7"/>
    <x v="0"/>
    <x v="0"/>
    <x v="0"/>
    <x v="2"/>
    <x v="2"/>
    <x v="11"/>
    <n v="4"/>
    <n v="4500"/>
    <n v="15"/>
    <n v="15300"/>
    <n v="0.34640522875816993"/>
    <n v="2500"/>
    <n v="10000"/>
    <n v="5300"/>
    <x v="0"/>
    <s v="Standard"/>
    <x v="5"/>
    <x v="1"/>
    <s v="2024-12-15"/>
  </r>
  <r>
    <s v="ORD-1443"/>
    <d v="2024-05-15T00:00:00"/>
    <x v="4"/>
    <x v="1"/>
    <x v="0"/>
    <x v="6"/>
    <x v="2"/>
    <x v="3"/>
    <x v="10"/>
    <n v="1"/>
    <n v="1500"/>
    <n v="10"/>
    <n v="1350"/>
    <n v="0.40740740740740738"/>
    <n v="800"/>
    <n v="800"/>
    <n v="550"/>
    <x v="1"/>
    <s v="Standard"/>
    <x v="0"/>
    <x v="4"/>
    <s v="2024-05-15"/>
  </r>
  <r>
    <s v="ORD-1444"/>
    <d v="2024-01-21T00:00:00"/>
    <x v="10"/>
    <x v="2"/>
    <x v="0"/>
    <x v="6"/>
    <x v="4"/>
    <x v="3"/>
    <x v="9"/>
    <n v="20"/>
    <n v="4000"/>
    <n v="25"/>
    <n v="60000"/>
    <n v="0.16666666666666666"/>
    <n v="2500"/>
    <n v="50000"/>
    <n v="10000"/>
    <x v="1"/>
    <s v="Standard"/>
    <x v="5"/>
    <x v="3"/>
    <s v="2024-01-21"/>
  </r>
  <r>
    <s v="ORD-1445"/>
    <d v="2024-10-08T00:00:00"/>
    <x v="1"/>
    <x v="0"/>
    <x v="0"/>
    <x v="7"/>
    <x v="7"/>
    <x v="0"/>
    <x v="19"/>
    <n v="8"/>
    <n v="15000"/>
    <n v="5"/>
    <n v="114000"/>
    <n v="0.2982456140350877"/>
    <n v="10000"/>
    <n v="80000"/>
    <n v="34000"/>
    <x v="0"/>
    <s v="High Value"/>
    <x v="1"/>
    <x v="1"/>
    <s v="2024-10-08"/>
  </r>
  <r>
    <s v="ORD-1446"/>
    <d v="2024-10-05T00:00:00"/>
    <x v="1"/>
    <x v="0"/>
    <x v="0"/>
    <x v="4"/>
    <x v="1"/>
    <x v="1"/>
    <x v="24"/>
    <n v="8"/>
    <n v="35000"/>
    <n v="5"/>
    <n v="266000"/>
    <n v="0.21804511278195488"/>
    <n v="26000"/>
    <n v="208000"/>
    <n v="58000"/>
    <x v="1"/>
    <s v="High Value"/>
    <x v="4"/>
    <x v="1"/>
    <s v="2024-10-05"/>
  </r>
  <r>
    <s v="ORD-1447"/>
    <d v="2024-04-21T00:00:00"/>
    <x v="3"/>
    <x v="1"/>
    <x v="0"/>
    <x v="3"/>
    <x v="6"/>
    <x v="3"/>
    <x v="9"/>
    <n v="4"/>
    <n v="4000"/>
    <n v="25"/>
    <n v="12000"/>
    <n v="0.16666666666666666"/>
    <n v="2500"/>
    <n v="10000"/>
    <n v="2000"/>
    <x v="1"/>
    <s v="Standard"/>
    <x v="5"/>
    <x v="1"/>
    <s v="2024-04-21"/>
  </r>
  <r>
    <s v="ORD-1448"/>
    <d v="2024-11-24T00:00:00"/>
    <x v="0"/>
    <x v="0"/>
    <x v="0"/>
    <x v="3"/>
    <x v="5"/>
    <x v="1"/>
    <x v="24"/>
    <n v="13"/>
    <n v="35000"/>
    <n v="0"/>
    <n v="455000"/>
    <n v="0.25714285714285712"/>
    <n v="26000"/>
    <n v="338000"/>
    <n v="117000"/>
    <x v="1"/>
    <s v="High Value"/>
    <x v="4"/>
    <x v="1"/>
    <s v="2024-11-24"/>
  </r>
  <r>
    <s v="ORD-1449"/>
    <d v="2024-05-24T00:00:00"/>
    <x v="4"/>
    <x v="1"/>
    <x v="0"/>
    <x v="8"/>
    <x v="4"/>
    <x v="3"/>
    <x v="14"/>
    <n v="15"/>
    <n v="1200"/>
    <n v="15"/>
    <n v="15300"/>
    <n v="0.31372549019607843"/>
    <n v="700"/>
    <n v="10500"/>
    <n v="4800"/>
    <x v="0"/>
    <s v="Standard"/>
    <x v="4"/>
    <x v="3"/>
    <s v="2024-05-24"/>
  </r>
  <r>
    <s v="ORD-1450"/>
    <d v="2024-04-08T00:00:00"/>
    <x v="3"/>
    <x v="1"/>
    <x v="0"/>
    <x v="7"/>
    <x v="7"/>
    <x v="1"/>
    <x v="16"/>
    <n v="18"/>
    <n v="85000"/>
    <n v="20"/>
    <n v="1224000"/>
    <n v="4.4117647058823532E-2"/>
    <n v="65000"/>
    <n v="1170000"/>
    <n v="54000"/>
    <x v="0"/>
    <s v="Standard"/>
    <x v="0"/>
    <x v="1"/>
    <s v="2024-04-08"/>
  </r>
  <r>
    <s v="ORD-1451"/>
    <d v="2024-12-09T00:00:00"/>
    <x v="7"/>
    <x v="0"/>
    <x v="0"/>
    <x v="1"/>
    <x v="1"/>
    <x v="1"/>
    <x v="16"/>
    <n v="18"/>
    <n v="85000"/>
    <n v="25"/>
    <n v="1147500"/>
    <n v="-1.9607843137254902E-2"/>
    <n v="65000"/>
    <n v="1170000"/>
    <n v="-22500"/>
    <x v="1"/>
    <s v="Standard"/>
    <x v="0"/>
    <x v="3"/>
    <s v="2024-12-09"/>
  </r>
  <r>
    <s v="ORD-1452"/>
    <d v="2024-02-06T00:00:00"/>
    <x v="6"/>
    <x v="2"/>
    <x v="0"/>
    <x v="6"/>
    <x v="0"/>
    <x v="4"/>
    <x v="13"/>
    <n v="2"/>
    <n v="400"/>
    <n v="0"/>
    <n v="800"/>
    <n v="0.3"/>
    <n v="280"/>
    <n v="560"/>
    <n v="240"/>
    <x v="0"/>
    <s v="Standard"/>
    <x v="3"/>
    <x v="1"/>
    <s v="2024-02-06"/>
  </r>
  <r>
    <s v="ORD-1453"/>
    <d v="2024-05-08T00:00:00"/>
    <x v="4"/>
    <x v="1"/>
    <x v="0"/>
    <x v="4"/>
    <x v="7"/>
    <x v="3"/>
    <x v="5"/>
    <n v="9"/>
    <n v="2000"/>
    <n v="15"/>
    <n v="15300"/>
    <n v="0.29411764705882354"/>
    <n v="1200"/>
    <n v="10800"/>
    <n v="4500"/>
    <x v="1"/>
    <s v="Standard"/>
    <x v="5"/>
    <x v="0"/>
    <s v="2024-05-08"/>
  </r>
  <r>
    <s v="ORD-1454"/>
    <d v="2024-08-09T00:00:00"/>
    <x v="11"/>
    <x v="3"/>
    <x v="0"/>
    <x v="7"/>
    <x v="0"/>
    <x v="4"/>
    <x v="17"/>
    <n v="18"/>
    <n v="800"/>
    <n v="0"/>
    <n v="14400"/>
    <n v="0.25"/>
    <n v="600"/>
    <n v="10800"/>
    <n v="3600"/>
    <x v="0"/>
    <s v="Standard"/>
    <x v="0"/>
    <x v="1"/>
    <s v="2024-08-09"/>
  </r>
  <r>
    <s v="ORD-1455"/>
    <d v="2024-12-24T00:00:00"/>
    <x v="7"/>
    <x v="0"/>
    <x v="0"/>
    <x v="0"/>
    <x v="4"/>
    <x v="3"/>
    <x v="9"/>
    <n v="10"/>
    <n v="4000"/>
    <n v="25"/>
    <n v="30000"/>
    <n v="0.16666666666666666"/>
    <n v="2500"/>
    <n v="25000"/>
    <n v="5000"/>
    <x v="1"/>
    <s v="Standard"/>
    <x v="1"/>
    <x v="1"/>
    <s v="2024-12-24"/>
  </r>
  <r>
    <s v="ORD-1456"/>
    <d v="2024-08-12T00:00:00"/>
    <x v="11"/>
    <x v="3"/>
    <x v="0"/>
    <x v="5"/>
    <x v="1"/>
    <x v="1"/>
    <x v="4"/>
    <n v="6"/>
    <n v="5000"/>
    <n v="20"/>
    <n v="24000"/>
    <n v="0.25"/>
    <n v="3000"/>
    <n v="18000"/>
    <n v="6000"/>
    <x v="0"/>
    <s v="Standard"/>
    <x v="2"/>
    <x v="0"/>
    <s v="2024-08-12"/>
  </r>
  <r>
    <s v="ORD-1457"/>
    <d v="2024-10-06T00:00:00"/>
    <x v="1"/>
    <x v="0"/>
    <x v="0"/>
    <x v="2"/>
    <x v="2"/>
    <x v="0"/>
    <x v="21"/>
    <n v="1"/>
    <n v="5000"/>
    <n v="20"/>
    <n v="4000"/>
    <n v="0.25"/>
    <n v="3000"/>
    <n v="3000"/>
    <n v="1000"/>
    <x v="0"/>
    <s v="Standard"/>
    <x v="3"/>
    <x v="1"/>
    <s v="2024-10-06"/>
  </r>
  <r>
    <s v="ORD-1458"/>
    <d v="2024-10-20T00:00:00"/>
    <x v="1"/>
    <x v="0"/>
    <x v="0"/>
    <x v="3"/>
    <x v="1"/>
    <x v="3"/>
    <x v="14"/>
    <n v="3"/>
    <n v="1200"/>
    <n v="10"/>
    <n v="3240"/>
    <n v="0.35185185185185186"/>
    <n v="700"/>
    <n v="2100"/>
    <n v="1140"/>
    <x v="0"/>
    <s v="Standard"/>
    <x v="0"/>
    <x v="0"/>
    <s v="2024-10-20"/>
  </r>
  <r>
    <s v="ORD-1459"/>
    <d v="2024-06-25T00:00:00"/>
    <x v="2"/>
    <x v="1"/>
    <x v="0"/>
    <x v="1"/>
    <x v="1"/>
    <x v="3"/>
    <x v="5"/>
    <n v="6"/>
    <n v="2000"/>
    <n v="5"/>
    <n v="11400"/>
    <n v="0.36842105263157893"/>
    <n v="1200"/>
    <n v="7200"/>
    <n v="4200"/>
    <x v="0"/>
    <s v="Standard"/>
    <x v="1"/>
    <x v="3"/>
    <s v="2024-06-25"/>
  </r>
  <r>
    <s v="ORD-1460"/>
    <d v="2024-04-09T00:00:00"/>
    <x v="3"/>
    <x v="1"/>
    <x v="0"/>
    <x v="0"/>
    <x v="2"/>
    <x v="3"/>
    <x v="9"/>
    <n v="18"/>
    <n v="4000"/>
    <n v="15"/>
    <n v="61200"/>
    <n v="0.26470588235294118"/>
    <n v="2500"/>
    <n v="45000"/>
    <n v="16200"/>
    <x v="0"/>
    <s v="Standard"/>
    <x v="4"/>
    <x v="0"/>
    <s v="2024-04-09"/>
  </r>
  <r>
    <s v="ORD-1461"/>
    <d v="2024-05-08T00:00:00"/>
    <x v="4"/>
    <x v="1"/>
    <x v="0"/>
    <x v="0"/>
    <x v="5"/>
    <x v="3"/>
    <x v="8"/>
    <n v="11"/>
    <n v="8000"/>
    <n v="10"/>
    <n v="79200"/>
    <n v="0.30555555555555558"/>
    <n v="5000"/>
    <n v="55000"/>
    <n v="24200"/>
    <x v="0"/>
    <s v="Standard"/>
    <x v="0"/>
    <x v="0"/>
    <s v="2024-05-08"/>
  </r>
  <r>
    <s v="ORD-1462"/>
    <d v="2024-02-21T00:00:00"/>
    <x v="6"/>
    <x v="2"/>
    <x v="0"/>
    <x v="2"/>
    <x v="7"/>
    <x v="2"/>
    <x v="3"/>
    <n v="16"/>
    <n v="3000"/>
    <n v="15"/>
    <n v="40800"/>
    <n v="0.41176470588235292"/>
    <n v="1500"/>
    <n v="24000"/>
    <n v="16800"/>
    <x v="1"/>
    <s v="Standard"/>
    <x v="1"/>
    <x v="0"/>
    <s v="2024-02-21"/>
  </r>
  <r>
    <s v="ORD-1463"/>
    <d v="2024-12-21T00:00:00"/>
    <x v="7"/>
    <x v="0"/>
    <x v="0"/>
    <x v="3"/>
    <x v="2"/>
    <x v="3"/>
    <x v="14"/>
    <n v="12"/>
    <n v="1200"/>
    <n v="10"/>
    <n v="12960"/>
    <n v="0.35185185185185186"/>
    <n v="700"/>
    <n v="8400"/>
    <n v="4560"/>
    <x v="1"/>
    <s v="Standard"/>
    <x v="2"/>
    <x v="1"/>
    <s v="2024-12-21"/>
  </r>
  <r>
    <s v="ORD-1464"/>
    <d v="2024-05-06T00:00:00"/>
    <x v="4"/>
    <x v="1"/>
    <x v="0"/>
    <x v="1"/>
    <x v="1"/>
    <x v="0"/>
    <x v="21"/>
    <n v="5"/>
    <n v="5000"/>
    <n v="25"/>
    <n v="18750"/>
    <n v="0.2"/>
    <n v="3000"/>
    <n v="15000"/>
    <n v="3750"/>
    <x v="1"/>
    <s v="Standard"/>
    <x v="5"/>
    <x v="1"/>
    <s v="2024-05-06"/>
  </r>
  <r>
    <s v="ORD-1465"/>
    <d v="2024-07-02T00:00:00"/>
    <x v="9"/>
    <x v="3"/>
    <x v="0"/>
    <x v="2"/>
    <x v="6"/>
    <x v="3"/>
    <x v="9"/>
    <n v="6"/>
    <n v="4000"/>
    <n v="25"/>
    <n v="18000"/>
    <n v="0.16666666666666666"/>
    <n v="2500"/>
    <n v="15000"/>
    <n v="3000"/>
    <x v="0"/>
    <s v="Standard"/>
    <x v="4"/>
    <x v="3"/>
    <s v="2024-07-02"/>
  </r>
  <r>
    <s v="ORD-1466"/>
    <d v="2024-03-12T00:00:00"/>
    <x v="5"/>
    <x v="2"/>
    <x v="0"/>
    <x v="4"/>
    <x v="5"/>
    <x v="0"/>
    <x v="7"/>
    <n v="3"/>
    <n v="18000"/>
    <n v="0"/>
    <n v="54000"/>
    <n v="0.33333333333333331"/>
    <n v="12000"/>
    <n v="36000"/>
    <n v="18000"/>
    <x v="0"/>
    <s v="High Value"/>
    <x v="1"/>
    <x v="1"/>
    <s v="2024-03-12"/>
  </r>
  <r>
    <s v="ORD-1467"/>
    <d v="2024-10-29T00:00:00"/>
    <x v="1"/>
    <x v="0"/>
    <x v="0"/>
    <x v="1"/>
    <x v="0"/>
    <x v="3"/>
    <x v="10"/>
    <n v="18"/>
    <n v="1500"/>
    <n v="20"/>
    <n v="21600"/>
    <n v="0.33333333333333331"/>
    <n v="800"/>
    <n v="14400"/>
    <n v="7200"/>
    <x v="1"/>
    <s v="Standard"/>
    <x v="0"/>
    <x v="3"/>
    <s v="2024-10-29"/>
  </r>
  <r>
    <s v="ORD-1468"/>
    <d v="2024-07-06T00:00:00"/>
    <x v="9"/>
    <x v="3"/>
    <x v="0"/>
    <x v="5"/>
    <x v="5"/>
    <x v="3"/>
    <x v="10"/>
    <n v="5"/>
    <n v="1500"/>
    <n v="15"/>
    <n v="6375"/>
    <n v="0.37254901960784315"/>
    <n v="800"/>
    <n v="4000"/>
    <n v="2375"/>
    <x v="0"/>
    <s v="Standard"/>
    <x v="5"/>
    <x v="1"/>
    <s v="2024-07-06"/>
  </r>
  <r>
    <s v="ORD-1469"/>
    <d v="2024-01-06T00:00:00"/>
    <x v="10"/>
    <x v="2"/>
    <x v="0"/>
    <x v="1"/>
    <x v="2"/>
    <x v="3"/>
    <x v="5"/>
    <n v="15"/>
    <n v="2000"/>
    <n v="5"/>
    <n v="28500"/>
    <n v="0.36842105263157893"/>
    <n v="1200"/>
    <n v="18000"/>
    <n v="10500"/>
    <x v="0"/>
    <s v="Standard"/>
    <x v="1"/>
    <x v="4"/>
    <s v="2024-01-06"/>
  </r>
  <r>
    <s v="ORD-1470"/>
    <d v="2024-12-03T00:00:00"/>
    <x v="7"/>
    <x v="0"/>
    <x v="0"/>
    <x v="6"/>
    <x v="6"/>
    <x v="0"/>
    <x v="7"/>
    <n v="8"/>
    <n v="18000"/>
    <n v="15"/>
    <n v="122400"/>
    <n v="0.21568627450980393"/>
    <n v="12000"/>
    <n v="96000"/>
    <n v="26400"/>
    <x v="0"/>
    <s v="Standard"/>
    <x v="3"/>
    <x v="1"/>
    <s v="2024-12-03"/>
  </r>
  <r>
    <s v="ORD-1471"/>
    <d v="2024-04-29T00:00:00"/>
    <x v="3"/>
    <x v="1"/>
    <x v="0"/>
    <x v="8"/>
    <x v="5"/>
    <x v="3"/>
    <x v="10"/>
    <n v="13"/>
    <n v="1500"/>
    <n v="15"/>
    <n v="16575"/>
    <n v="0.37254901960784315"/>
    <n v="800"/>
    <n v="10400"/>
    <n v="6175"/>
    <x v="1"/>
    <s v="Standard"/>
    <x v="3"/>
    <x v="1"/>
    <s v="2024-04-29"/>
  </r>
  <r>
    <s v="ORD-1472"/>
    <d v="2024-11-28T00:00:00"/>
    <x v="0"/>
    <x v="0"/>
    <x v="0"/>
    <x v="7"/>
    <x v="7"/>
    <x v="3"/>
    <x v="10"/>
    <n v="9"/>
    <n v="1500"/>
    <n v="20"/>
    <n v="10800"/>
    <n v="0.33333333333333331"/>
    <n v="800"/>
    <n v="7200"/>
    <n v="3600"/>
    <x v="0"/>
    <s v="Standard"/>
    <x v="5"/>
    <x v="0"/>
    <s v="2024-11-28"/>
  </r>
  <r>
    <s v="ORD-1473"/>
    <d v="2024-07-06T00:00:00"/>
    <x v="9"/>
    <x v="3"/>
    <x v="0"/>
    <x v="3"/>
    <x v="7"/>
    <x v="3"/>
    <x v="10"/>
    <n v="13"/>
    <n v="1500"/>
    <n v="5"/>
    <n v="18525"/>
    <n v="0.43859649122807015"/>
    <n v="800"/>
    <n v="10400"/>
    <n v="8125"/>
    <x v="1"/>
    <s v="Standard"/>
    <x v="4"/>
    <x v="3"/>
    <s v="2024-07-06"/>
  </r>
  <r>
    <s v="ORD-1474"/>
    <d v="2024-06-25T00:00:00"/>
    <x v="2"/>
    <x v="1"/>
    <x v="0"/>
    <x v="9"/>
    <x v="6"/>
    <x v="3"/>
    <x v="9"/>
    <n v="17"/>
    <n v="4000"/>
    <n v="5"/>
    <n v="64600"/>
    <n v="0.34210526315789475"/>
    <n v="2500"/>
    <n v="42500"/>
    <n v="22100"/>
    <x v="1"/>
    <s v="High Value"/>
    <x v="2"/>
    <x v="1"/>
    <s v="2024-06-25"/>
  </r>
  <r>
    <s v="ORD-1475"/>
    <d v="2024-09-20T00:00:00"/>
    <x v="8"/>
    <x v="3"/>
    <x v="0"/>
    <x v="2"/>
    <x v="5"/>
    <x v="2"/>
    <x v="20"/>
    <n v="6"/>
    <n v="3500"/>
    <n v="10"/>
    <n v="18900"/>
    <n v="0.42857142857142855"/>
    <n v="1800"/>
    <n v="10800"/>
    <n v="8100"/>
    <x v="0"/>
    <s v="Standard"/>
    <x v="0"/>
    <x v="1"/>
    <s v="2024-09-20"/>
  </r>
  <r>
    <s v="ORD-1476"/>
    <d v="2024-06-18T00:00:00"/>
    <x v="2"/>
    <x v="1"/>
    <x v="0"/>
    <x v="0"/>
    <x v="6"/>
    <x v="4"/>
    <x v="15"/>
    <n v="7"/>
    <n v="700"/>
    <n v="20"/>
    <n v="3920"/>
    <n v="0.10714285714285714"/>
    <n v="500"/>
    <n v="3500"/>
    <n v="420"/>
    <x v="0"/>
    <s v="Standard"/>
    <x v="0"/>
    <x v="3"/>
    <s v="2024-06-18"/>
  </r>
  <r>
    <s v="ORD-1477"/>
    <d v="2024-01-12T00:00:00"/>
    <x v="10"/>
    <x v="2"/>
    <x v="0"/>
    <x v="1"/>
    <x v="0"/>
    <x v="2"/>
    <x v="11"/>
    <n v="19"/>
    <n v="4500"/>
    <n v="5"/>
    <n v="81225"/>
    <n v="0.41520467836257308"/>
    <n v="2500"/>
    <n v="47500"/>
    <n v="33725"/>
    <x v="0"/>
    <s v="High Value"/>
    <x v="0"/>
    <x v="1"/>
    <s v="2024-01-12"/>
  </r>
  <r>
    <s v="ORD-1478"/>
    <d v="2024-10-20T00:00:00"/>
    <x v="1"/>
    <x v="0"/>
    <x v="0"/>
    <x v="6"/>
    <x v="0"/>
    <x v="2"/>
    <x v="3"/>
    <n v="6"/>
    <n v="3000"/>
    <n v="20"/>
    <n v="14400"/>
    <n v="0.375"/>
    <n v="1500"/>
    <n v="9000"/>
    <n v="5400"/>
    <x v="1"/>
    <s v="Standard"/>
    <x v="1"/>
    <x v="4"/>
    <s v="2024-10-20"/>
  </r>
  <r>
    <s v="ORD-1479"/>
    <d v="2024-11-22T00:00:00"/>
    <x v="0"/>
    <x v="0"/>
    <x v="0"/>
    <x v="8"/>
    <x v="3"/>
    <x v="1"/>
    <x v="16"/>
    <n v="15"/>
    <n v="85000"/>
    <n v="20"/>
    <n v="1020000"/>
    <n v="4.4117647058823532E-2"/>
    <n v="65000"/>
    <n v="975000"/>
    <n v="45000"/>
    <x v="1"/>
    <s v="Standard"/>
    <x v="5"/>
    <x v="1"/>
    <s v="2024-11-22"/>
  </r>
  <r>
    <s v="ORD-1480"/>
    <d v="2024-07-29T00:00:00"/>
    <x v="9"/>
    <x v="3"/>
    <x v="0"/>
    <x v="3"/>
    <x v="2"/>
    <x v="3"/>
    <x v="5"/>
    <n v="20"/>
    <n v="2000"/>
    <n v="25"/>
    <n v="30000"/>
    <n v="0.2"/>
    <n v="1200"/>
    <n v="24000"/>
    <n v="6000"/>
    <x v="1"/>
    <s v="Standard"/>
    <x v="2"/>
    <x v="0"/>
    <s v="2024-07-29"/>
  </r>
  <r>
    <s v="ORD-1481"/>
    <d v="2024-06-24T00:00:00"/>
    <x v="2"/>
    <x v="1"/>
    <x v="0"/>
    <x v="9"/>
    <x v="7"/>
    <x v="2"/>
    <x v="2"/>
    <n v="13"/>
    <n v="6000"/>
    <n v="5"/>
    <n v="74100"/>
    <n v="0.38596491228070173"/>
    <n v="3500"/>
    <n v="45500"/>
    <n v="28600"/>
    <x v="0"/>
    <s v="High Value"/>
    <x v="3"/>
    <x v="1"/>
    <s v="2024-06-24"/>
  </r>
  <r>
    <s v="ORD-1482"/>
    <d v="2024-09-15T00:00:00"/>
    <x v="8"/>
    <x v="3"/>
    <x v="0"/>
    <x v="5"/>
    <x v="2"/>
    <x v="3"/>
    <x v="9"/>
    <n v="6"/>
    <n v="4000"/>
    <n v="15"/>
    <n v="20400"/>
    <n v="0.26470588235294118"/>
    <n v="2500"/>
    <n v="15000"/>
    <n v="5400"/>
    <x v="0"/>
    <s v="Standard"/>
    <x v="1"/>
    <x v="1"/>
    <s v="2024-09-15"/>
  </r>
  <r>
    <s v="ORD-1483"/>
    <d v="2024-03-01T00:00:00"/>
    <x v="5"/>
    <x v="2"/>
    <x v="0"/>
    <x v="0"/>
    <x v="6"/>
    <x v="2"/>
    <x v="11"/>
    <n v="18"/>
    <n v="4500"/>
    <n v="0"/>
    <n v="81000"/>
    <n v="0.44444444444444442"/>
    <n v="2500"/>
    <n v="45000"/>
    <n v="36000"/>
    <x v="1"/>
    <s v="High Value"/>
    <x v="1"/>
    <x v="1"/>
    <s v="2024-03-01"/>
  </r>
  <r>
    <s v="ORD-1484"/>
    <d v="2024-01-23T00:00:00"/>
    <x v="10"/>
    <x v="2"/>
    <x v="0"/>
    <x v="4"/>
    <x v="1"/>
    <x v="2"/>
    <x v="2"/>
    <n v="13"/>
    <n v="6000"/>
    <n v="10"/>
    <n v="70200"/>
    <n v="0.35185185185185186"/>
    <n v="3500"/>
    <n v="45500"/>
    <n v="24700"/>
    <x v="0"/>
    <s v="Standard"/>
    <x v="5"/>
    <x v="1"/>
    <s v="2024-01-23"/>
  </r>
  <r>
    <s v="ORD-1485"/>
    <d v="2024-09-01T00:00:00"/>
    <x v="8"/>
    <x v="3"/>
    <x v="0"/>
    <x v="1"/>
    <x v="7"/>
    <x v="0"/>
    <x v="19"/>
    <n v="18"/>
    <n v="15000"/>
    <n v="15"/>
    <n v="229500"/>
    <n v="0.21568627450980393"/>
    <n v="10000"/>
    <n v="180000"/>
    <n v="49500"/>
    <x v="1"/>
    <s v="Standard"/>
    <x v="2"/>
    <x v="1"/>
    <s v="2024-09-01"/>
  </r>
  <r>
    <s v="ORD-1486"/>
    <d v="2024-01-04T00:00:00"/>
    <x v="10"/>
    <x v="2"/>
    <x v="0"/>
    <x v="3"/>
    <x v="7"/>
    <x v="3"/>
    <x v="9"/>
    <n v="13"/>
    <n v="4000"/>
    <n v="25"/>
    <n v="39000"/>
    <n v="0.16666666666666666"/>
    <n v="2500"/>
    <n v="32500"/>
    <n v="6500"/>
    <x v="0"/>
    <s v="Standard"/>
    <x v="0"/>
    <x v="3"/>
    <s v="2024-01-04"/>
  </r>
  <r>
    <s v="ORD-1487"/>
    <d v="2024-07-28T00:00:00"/>
    <x v="9"/>
    <x v="3"/>
    <x v="0"/>
    <x v="7"/>
    <x v="7"/>
    <x v="2"/>
    <x v="2"/>
    <n v="19"/>
    <n v="6000"/>
    <n v="10"/>
    <n v="102600"/>
    <n v="0.35185185185185186"/>
    <n v="3500"/>
    <n v="66500"/>
    <n v="36100"/>
    <x v="1"/>
    <s v="Standard"/>
    <x v="1"/>
    <x v="1"/>
    <s v="2024-07-28"/>
  </r>
  <r>
    <s v="ORD-1488"/>
    <d v="2024-07-06T00:00:00"/>
    <x v="9"/>
    <x v="3"/>
    <x v="0"/>
    <x v="3"/>
    <x v="3"/>
    <x v="4"/>
    <x v="22"/>
    <n v="14"/>
    <n v="1500"/>
    <n v="20"/>
    <n v="16800"/>
    <n v="8.3333333333333329E-2"/>
    <n v="1100"/>
    <n v="15400"/>
    <n v="1400"/>
    <x v="1"/>
    <s v="Standard"/>
    <x v="2"/>
    <x v="1"/>
    <s v="2024-07-06"/>
  </r>
  <r>
    <s v="ORD-1489"/>
    <d v="2024-10-11T00:00:00"/>
    <x v="1"/>
    <x v="0"/>
    <x v="0"/>
    <x v="9"/>
    <x v="3"/>
    <x v="0"/>
    <x v="19"/>
    <n v="12"/>
    <n v="15000"/>
    <n v="25"/>
    <n v="135000"/>
    <n v="0.1111111111111111"/>
    <n v="10000"/>
    <n v="120000"/>
    <n v="15000"/>
    <x v="1"/>
    <s v="Standard"/>
    <x v="0"/>
    <x v="1"/>
    <s v="2024-10-11"/>
  </r>
  <r>
    <s v="ORD-1490"/>
    <d v="2024-12-03T00:00:00"/>
    <x v="7"/>
    <x v="0"/>
    <x v="0"/>
    <x v="0"/>
    <x v="5"/>
    <x v="4"/>
    <x v="22"/>
    <n v="4"/>
    <n v="1500"/>
    <n v="5"/>
    <n v="5700"/>
    <n v="0.22807017543859648"/>
    <n v="1100"/>
    <n v="4400"/>
    <n v="1300"/>
    <x v="1"/>
    <s v="Standard"/>
    <x v="4"/>
    <x v="3"/>
    <s v="2024-12-03"/>
  </r>
  <r>
    <s v="ORD-1491"/>
    <d v="2024-11-10T00:00:00"/>
    <x v="0"/>
    <x v="0"/>
    <x v="0"/>
    <x v="8"/>
    <x v="2"/>
    <x v="4"/>
    <x v="17"/>
    <n v="3"/>
    <n v="800"/>
    <n v="5"/>
    <n v="2280"/>
    <n v="0.21052631578947367"/>
    <n v="600"/>
    <n v="1800"/>
    <n v="480"/>
    <x v="1"/>
    <s v="Standard"/>
    <x v="1"/>
    <x v="1"/>
    <s v="2024-11-10"/>
  </r>
  <r>
    <s v="ORD-1492"/>
    <d v="2024-02-02T00:00:00"/>
    <x v="6"/>
    <x v="2"/>
    <x v="0"/>
    <x v="2"/>
    <x v="5"/>
    <x v="0"/>
    <x v="7"/>
    <n v="20"/>
    <n v="18000"/>
    <n v="0"/>
    <n v="360000"/>
    <n v="0.33333333333333331"/>
    <n v="12000"/>
    <n v="240000"/>
    <n v="120000"/>
    <x v="1"/>
    <s v="High Value"/>
    <x v="5"/>
    <x v="0"/>
    <s v="2024-02-02"/>
  </r>
  <r>
    <s v="ORD-1493"/>
    <d v="2024-09-23T00:00:00"/>
    <x v="8"/>
    <x v="3"/>
    <x v="0"/>
    <x v="2"/>
    <x v="0"/>
    <x v="2"/>
    <x v="2"/>
    <n v="15"/>
    <n v="6000"/>
    <n v="0"/>
    <n v="90000"/>
    <n v="0.41666666666666669"/>
    <n v="3500"/>
    <n v="52500"/>
    <n v="37500"/>
    <x v="0"/>
    <s v="High Value"/>
    <x v="0"/>
    <x v="4"/>
    <s v="2024-09-23"/>
  </r>
  <r>
    <s v="ORD-1494"/>
    <d v="2024-09-22T00:00:00"/>
    <x v="8"/>
    <x v="3"/>
    <x v="0"/>
    <x v="2"/>
    <x v="5"/>
    <x v="1"/>
    <x v="18"/>
    <n v="17"/>
    <n v="15000"/>
    <n v="20"/>
    <n v="204000"/>
    <n v="0.16666666666666666"/>
    <n v="10000"/>
    <n v="170000"/>
    <n v="34000"/>
    <x v="0"/>
    <s v="Standard"/>
    <x v="1"/>
    <x v="1"/>
    <s v="2024-09-22"/>
  </r>
  <r>
    <s v="ORD-1495"/>
    <d v="2024-01-19T00:00:00"/>
    <x v="10"/>
    <x v="2"/>
    <x v="0"/>
    <x v="7"/>
    <x v="5"/>
    <x v="1"/>
    <x v="16"/>
    <n v="3"/>
    <n v="85000"/>
    <n v="10"/>
    <n v="229500"/>
    <n v="0.15032679738562091"/>
    <n v="65000"/>
    <n v="195000"/>
    <n v="34500"/>
    <x v="1"/>
    <s v="Standard"/>
    <x v="4"/>
    <x v="0"/>
    <s v="2024-01-19"/>
  </r>
  <r>
    <s v="ORD-1496"/>
    <d v="2024-07-26T00:00:00"/>
    <x v="9"/>
    <x v="3"/>
    <x v="0"/>
    <x v="3"/>
    <x v="5"/>
    <x v="3"/>
    <x v="9"/>
    <n v="3"/>
    <n v="4000"/>
    <n v="0"/>
    <n v="12000"/>
    <n v="0.375"/>
    <n v="2500"/>
    <n v="7500"/>
    <n v="4500"/>
    <x v="1"/>
    <s v="Standard"/>
    <x v="0"/>
    <x v="3"/>
    <s v="2024-07-26"/>
  </r>
  <r>
    <s v="ORD-1497"/>
    <d v="2024-10-25T00:00:00"/>
    <x v="1"/>
    <x v="0"/>
    <x v="0"/>
    <x v="7"/>
    <x v="4"/>
    <x v="0"/>
    <x v="0"/>
    <n v="20"/>
    <n v="3500"/>
    <n v="5"/>
    <n v="66500"/>
    <n v="0.39849624060150374"/>
    <n v="2000"/>
    <n v="40000"/>
    <n v="26500"/>
    <x v="1"/>
    <s v="High Value"/>
    <x v="5"/>
    <x v="1"/>
    <s v="2024-10-25"/>
  </r>
  <r>
    <s v="ORD-1498"/>
    <d v="2024-05-13T00:00:00"/>
    <x v="4"/>
    <x v="1"/>
    <x v="0"/>
    <x v="6"/>
    <x v="1"/>
    <x v="3"/>
    <x v="9"/>
    <n v="18"/>
    <n v="4000"/>
    <n v="0"/>
    <n v="72000"/>
    <n v="0.375"/>
    <n v="2500"/>
    <n v="45000"/>
    <n v="27000"/>
    <x v="1"/>
    <s v="High Value"/>
    <x v="4"/>
    <x v="4"/>
    <s v="2024-05-13"/>
  </r>
  <r>
    <s v="ORD-1499"/>
    <d v="2024-09-19T00:00:00"/>
    <x v="8"/>
    <x v="3"/>
    <x v="0"/>
    <x v="2"/>
    <x v="3"/>
    <x v="4"/>
    <x v="15"/>
    <n v="19"/>
    <n v="700"/>
    <n v="15"/>
    <n v="11305"/>
    <n v="0.15966386554621848"/>
    <n v="500"/>
    <n v="9500"/>
    <n v="1805"/>
    <x v="0"/>
    <s v="Standard"/>
    <x v="4"/>
    <x v="4"/>
    <s v="2024-09-19"/>
  </r>
  <r>
    <s v="ORD-1500"/>
    <d v="2024-08-22T00:00:00"/>
    <x v="11"/>
    <x v="3"/>
    <x v="0"/>
    <x v="9"/>
    <x v="0"/>
    <x v="4"/>
    <x v="17"/>
    <n v="9"/>
    <n v="800"/>
    <n v="0"/>
    <n v="7200"/>
    <n v="0.25"/>
    <n v="600"/>
    <n v="5400"/>
    <n v="1800"/>
    <x v="1"/>
    <s v="Standard"/>
    <x v="0"/>
    <x v="3"/>
    <s v="2024-08-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0:B21" firstHeaderRow="0" firstDataRow="1" firstDataCol="0"/>
  <pivotFields count="22">
    <pivotField showAll="0"/>
    <pivotField numFmtId="164" showAll="0"/>
    <pivotField showAll="0">
      <items count="13">
        <item x="10"/>
        <item x="6"/>
        <item x="5"/>
        <item x="3"/>
        <item x="4"/>
        <item x="2"/>
        <item x="9"/>
        <item x="11"/>
        <item x="8"/>
        <item x="1"/>
        <item x="0"/>
        <item x="7"/>
        <item t="default"/>
      </items>
    </pivotField>
    <pivotField showAll="0">
      <items count="5">
        <item x="2"/>
        <item x="1"/>
        <item x="3"/>
        <item x="0"/>
        <item t="default"/>
      </items>
    </pivotField>
    <pivotField showAll="0"/>
    <pivotField showAll="0" measureFilter="1" sortType="descending">
      <items count="11">
        <item x="9"/>
        <item x="2"/>
        <item x="0"/>
        <item x="3"/>
        <item x="4"/>
        <item x="5"/>
        <item x="1"/>
        <item x="6"/>
        <item x="7"/>
        <item x="8"/>
        <item t="default"/>
      </items>
      <autoSortScope>
        <pivotArea dataOnly="0" outline="0" fieldPosition="0">
          <references count="1">
            <reference field="4294967294" count="1" selected="0">
              <x v="0"/>
            </reference>
          </references>
        </pivotArea>
      </autoSortScope>
    </pivotField>
    <pivotField showAll="0">
      <items count="9">
        <item x="1"/>
        <item x="2"/>
        <item x="0"/>
        <item x="7"/>
        <item x="4"/>
        <item x="5"/>
        <item x="3"/>
        <item x="6"/>
        <item t="default"/>
      </items>
    </pivotField>
    <pivotField showAll="0">
      <items count="6">
        <item x="2"/>
        <item x="1"/>
        <item x="4"/>
        <item x="0"/>
        <item x="3"/>
        <item t="default"/>
      </items>
    </pivotField>
    <pivotField showAll="0"/>
    <pivotField showAll="0"/>
    <pivotField showAll="0"/>
    <pivotField showAll="0"/>
    <pivotField dataField="1" showAll="0"/>
    <pivotField numFmtId="10" showAll="0"/>
    <pivotField showAll="0"/>
    <pivotField showAll="0"/>
    <pivotField dataField="1" showAll="0"/>
    <pivotField showAll="0"/>
    <pivotField showAll="0"/>
    <pivotField showAll="0"/>
    <pivotField showAll="0"/>
    <pivotField showAll="0"/>
  </pivotFields>
  <rowItems count="1">
    <i/>
  </rowItems>
  <colFields count="1">
    <field x="-2"/>
  </colFields>
  <colItems count="2">
    <i>
      <x/>
    </i>
    <i i="1">
      <x v="1"/>
    </i>
  </colItems>
  <dataFields count="2">
    <dataField name="Sum of Total Revenue (PKR)" fld="12" baseField="0" baseItem="0"/>
    <dataField name="Sum of Profit (PKR)" fld="16" baseField="0" baseItem="0" numFmtId="168"/>
  </dataFields>
  <formats count="2">
    <format dxfId="1">
      <pivotArea outline="0" collapsedLevelsAreSubtotals="1" fieldPosition="0"/>
    </format>
    <format dxfId="0">
      <pivotArea outline="0" fieldPosition="0">
        <references count="1">
          <reference field="4294967294" count="1">
            <x v="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4:E13" firstHeaderRow="1" firstDataRow="1" firstDataCol="1"/>
  <pivotFields count="22">
    <pivotField showAll="0"/>
    <pivotField numFmtId="164" showAll="0"/>
    <pivotField showAll="0">
      <items count="13">
        <item x="10"/>
        <item x="6"/>
        <item x="5"/>
        <item x="3"/>
        <item x="4"/>
        <item x="2"/>
        <item x="9"/>
        <item x="11"/>
        <item x="8"/>
        <item x="1"/>
        <item x="0"/>
        <item x="7"/>
        <item t="default"/>
      </items>
    </pivotField>
    <pivotField showAll="0">
      <items count="5">
        <item x="2"/>
        <item x="1"/>
        <item x="3"/>
        <item x="0"/>
        <item t="default"/>
      </items>
    </pivotField>
    <pivotField showAll="0"/>
    <pivotField showAll="0"/>
    <pivotField axis="axisRow" showAll="0" sortType="ascending">
      <items count="9">
        <item x="1"/>
        <item x="2"/>
        <item x="0"/>
        <item x="7"/>
        <item x="4"/>
        <item x="5"/>
        <item x="3"/>
        <item x="6"/>
        <item t="default"/>
      </items>
      <autoSortScope>
        <pivotArea dataOnly="0" outline="0" fieldPosition="0">
          <references count="1">
            <reference field="4294967294" count="1" selected="0">
              <x v="0"/>
            </reference>
          </references>
        </pivotArea>
      </autoSortScope>
    </pivotField>
    <pivotField showAll="0">
      <items count="6">
        <item x="2"/>
        <item x="1"/>
        <item x="4"/>
        <item x="0"/>
        <item x="3"/>
        <item t="default"/>
      </items>
    </pivotField>
    <pivotField showAll="0"/>
    <pivotField showAll="0"/>
    <pivotField showAll="0"/>
    <pivotField showAll="0"/>
    <pivotField dataField="1" showAll="0"/>
    <pivotField numFmtId="10" showAll="0"/>
    <pivotField showAll="0"/>
    <pivotField showAll="0"/>
    <pivotField showAll="0"/>
    <pivotField showAll="0"/>
    <pivotField showAll="0"/>
    <pivotField showAll="0"/>
    <pivotField showAll="0"/>
    <pivotField showAll="0"/>
  </pivotFields>
  <rowFields count="1">
    <field x="6"/>
  </rowFields>
  <rowItems count="9">
    <i>
      <x v="6"/>
    </i>
    <i>
      <x v="5"/>
    </i>
    <i>
      <x/>
    </i>
    <i>
      <x v="7"/>
    </i>
    <i>
      <x v="4"/>
    </i>
    <i>
      <x v="2"/>
    </i>
    <i>
      <x v="1"/>
    </i>
    <i>
      <x v="3"/>
    </i>
    <i t="grand">
      <x/>
    </i>
  </rowItems>
  <colItems count="1">
    <i/>
  </colItems>
  <dataFields count="1">
    <dataField name="Sum of Total Revenue (PKR)"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2:B18" firstHeaderRow="1" firstDataRow="1" firstDataCol="1"/>
  <pivotFields count="22">
    <pivotField showAll="0"/>
    <pivotField numFmtId="164" showAll="0"/>
    <pivotField showAll="0">
      <items count="13">
        <item x="10"/>
        <item x="6"/>
        <item x="5"/>
        <item x="3"/>
        <item x="4"/>
        <item x="2"/>
        <item x="9"/>
        <item x="11"/>
        <item x="8"/>
        <item x="1"/>
        <item x="0"/>
        <item x="7"/>
        <item t="default"/>
      </items>
    </pivotField>
    <pivotField showAll="0">
      <items count="5">
        <item x="2"/>
        <item x="1"/>
        <item x="3"/>
        <item x="0"/>
        <item t="default"/>
      </items>
    </pivotField>
    <pivotField showAll="0"/>
    <pivotField axis="axisRow" showAll="0" measureFilter="1" sortType="descending">
      <items count="11">
        <item x="9"/>
        <item x="2"/>
        <item x="0"/>
        <item x="3"/>
        <item x="4"/>
        <item x="5"/>
        <item x="1"/>
        <item x="6"/>
        <item x="7"/>
        <item x="8"/>
        <item t="default"/>
      </items>
      <autoSortScope>
        <pivotArea dataOnly="0" outline="0" fieldPosition="0">
          <references count="1">
            <reference field="4294967294" count="1" selected="0">
              <x v="0"/>
            </reference>
          </references>
        </pivotArea>
      </autoSortScope>
    </pivotField>
    <pivotField showAll="0">
      <items count="9">
        <item x="1"/>
        <item x="2"/>
        <item x="0"/>
        <item x="7"/>
        <item x="4"/>
        <item x="5"/>
        <item x="3"/>
        <item x="6"/>
        <item t="default"/>
      </items>
    </pivotField>
    <pivotField showAll="0">
      <items count="6">
        <item x="2"/>
        <item x="1"/>
        <item x="4"/>
        <item x="0"/>
        <item x="3"/>
        <item t="default"/>
      </items>
    </pivotField>
    <pivotField showAll="0"/>
    <pivotField showAll="0"/>
    <pivotField showAll="0"/>
    <pivotField showAll="0"/>
    <pivotField dataField="1" showAll="0"/>
    <pivotField numFmtId="10" showAll="0"/>
    <pivotField showAll="0"/>
    <pivotField showAll="0"/>
    <pivotField showAll="0"/>
    <pivotField showAll="0"/>
    <pivotField showAll="0"/>
    <pivotField showAll="0"/>
    <pivotField showAll="0"/>
    <pivotField showAll="0"/>
  </pivotFields>
  <rowFields count="1">
    <field x="5"/>
  </rowFields>
  <rowItems count="6">
    <i>
      <x v="7"/>
    </i>
    <i>
      <x v="3"/>
    </i>
    <i>
      <x v="8"/>
    </i>
    <i>
      <x v="2"/>
    </i>
    <i>
      <x v="6"/>
    </i>
    <i t="grand">
      <x/>
    </i>
  </rowItems>
  <colItems count="1">
    <i/>
  </colItems>
  <dataFields count="1">
    <dataField name="Sum of Total Revenue (PKR)"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B10" firstHeaderRow="1" firstDataRow="1" firstDataCol="1"/>
  <pivotFields count="22">
    <pivotField showAll="0"/>
    <pivotField numFmtId="164" showAll="0"/>
    <pivotField showAll="0">
      <items count="13">
        <item x="10"/>
        <item x="6"/>
        <item x="5"/>
        <item x="3"/>
        <item x="4"/>
        <item x="2"/>
        <item x="9"/>
        <item x="11"/>
        <item x="8"/>
        <item x="1"/>
        <item x="0"/>
        <item x="7"/>
        <item t="default"/>
      </items>
    </pivotField>
    <pivotField showAll="0">
      <items count="5">
        <item x="2"/>
        <item x="1"/>
        <item x="3"/>
        <item x="0"/>
        <item t="default"/>
      </items>
    </pivotField>
    <pivotField showAll="0">
      <items count="2">
        <item x="0"/>
        <item t="default"/>
      </items>
    </pivotField>
    <pivotField showAll="0">
      <items count="11">
        <item x="8"/>
        <item x="7"/>
        <item x="6"/>
        <item x="1"/>
        <item x="5"/>
        <item x="4"/>
        <item x="3"/>
        <item x="0"/>
        <item x="2"/>
        <item x="9"/>
        <item t="default"/>
      </items>
    </pivotField>
    <pivotField showAll="0">
      <items count="9">
        <item x="1"/>
        <item x="2"/>
        <item x="0"/>
        <item x="7"/>
        <item x="4"/>
        <item x="5"/>
        <item x="3"/>
        <item x="6"/>
        <item t="default"/>
      </items>
    </pivotField>
    <pivotField axis="axisRow" showAll="0" sortType="a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0" showAll="0"/>
    <pivotField showAll="0"/>
    <pivotField showAll="0"/>
    <pivotField showAll="0"/>
    <pivotField showAll="0"/>
    <pivotField showAll="0"/>
    <pivotField showAll="0"/>
    <pivotField showAll="0"/>
    <pivotField showAll="0"/>
  </pivotFields>
  <rowFields count="1">
    <field x="7"/>
  </rowFields>
  <rowItems count="6">
    <i>
      <x v="2"/>
    </i>
    <i>
      <x v="4"/>
    </i>
    <i>
      <x/>
    </i>
    <i>
      <x v="3"/>
    </i>
    <i>
      <x v="1"/>
    </i>
    <i t="grand">
      <x/>
    </i>
  </rowItems>
  <colItems count="1">
    <i/>
  </colItems>
  <dataFields count="1">
    <dataField name="Sum of Total Revenue (PKR)" fld="12" baseField="0" baseItem="0"/>
  </dataFields>
  <chartFormats count="1">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C31" firstHeaderRow="1" firstDataRow="1" firstDataCol="1"/>
  <pivotFields count="22">
    <pivotField showAll="0"/>
    <pivotField numFmtId="164" showAll="0"/>
    <pivotField showAll="0">
      <items count="13">
        <item x="10"/>
        <item x="6"/>
        <item x="5"/>
        <item x="3"/>
        <item x="4"/>
        <item x="2"/>
        <item x="9"/>
        <item x="11"/>
        <item x="8"/>
        <item x="1"/>
        <item x="0"/>
        <item x="7"/>
        <item t="default"/>
      </items>
    </pivotField>
    <pivotField showAll="0">
      <items count="5">
        <item x="2"/>
        <item x="1"/>
        <item x="3"/>
        <item x="0"/>
        <item t="default"/>
      </items>
    </pivotField>
    <pivotField showAll="0"/>
    <pivotField axis="axisRow" showAll="0">
      <items count="11">
        <item x="8"/>
        <item x="7"/>
        <item x="6"/>
        <item x="1"/>
        <item x="5"/>
        <item x="4"/>
        <item x="3"/>
        <item x="0"/>
        <item x="2"/>
        <item x="9"/>
        <item t="default"/>
      </items>
    </pivotField>
    <pivotField axis="axisRow" showAll="0">
      <items count="9">
        <item x="1"/>
        <item sd="0" x="2"/>
        <item sd="0" x="0"/>
        <item sd="0" x="7"/>
        <item sd="0" x="4"/>
        <item sd="0" x="5"/>
        <item sd="0" x="3"/>
        <item sd="0" x="6"/>
        <item t="default"/>
      </items>
    </pivotField>
    <pivotField axis="axisRow" showAll="0">
      <items count="6">
        <item x="2"/>
        <item sd="0" x="1"/>
        <item sd="0" x="4"/>
        <item sd="0" x="0"/>
        <item sd="0" x="3"/>
        <item t="default"/>
      </items>
    </pivotField>
    <pivotField showAll="0"/>
    <pivotField showAll="0"/>
    <pivotField showAll="0"/>
    <pivotField showAll="0"/>
    <pivotField dataField="1" showAll="0"/>
    <pivotField numFmtId="10" showAll="0"/>
    <pivotField showAll="0"/>
    <pivotField showAll="0"/>
    <pivotField showAll="0"/>
    <pivotField showAll="0">
      <items count="3">
        <item x="0"/>
        <item x="1"/>
        <item t="default"/>
      </items>
    </pivotField>
    <pivotField showAll="0"/>
    <pivotField showAll="0"/>
    <pivotField showAll="0"/>
    <pivotField showAll="0"/>
  </pivotFields>
  <rowFields count="3">
    <field x="6"/>
    <field x="7"/>
    <field x="5"/>
  </rowFields>
  <rowItems count="22">
    <i>
      <x/>
    </i>
    <i r="1">
      <x/>
    </i>
    <i r="2">
      <x v="1"/>
    </i>
    <i r="2">
      <x v="2"/>
    </i>
    <i r="2">
      <x v="3"/>
    </i>
    <i r="2">
      <x v="4"/>
    </i>
    <i r="2">
      <x v="5"/>
    </i>
    <i r="2">
      <x v="6"/>
    </i>
    <i r="2">
      <x v="7"/>
    </i>
    <i r="2">
      <x v="8"/>
    </i>
    <i r="1">
      <x v="1"/>
    </i>
    <i r="1">
      <x v="2"/>
    </i>
    <i r="1">
      <x v="3"/>
    </i>
    <i r="1">
      <x v="4"/>
    </i>
    <i>
      <x v="1"/>
    </i>
    <i>
      <x v="2"/>
    </i>
    <i>
      <x v="3"/>
    </i>
    <i>
      <x v="4"/>
    </i>
    <i>
      <x v="5"/>
    </i>
    <i>
      <x v="6"/>
    </i>
    <i>
      <x v="7"/>
    </i>
    <i t="grand">
      <x/>
    </i>
  </rowItems>
  <colItems count="1">
    <i/>
  </colItems>
  <dataFields count="1">
    <dataField name="Sum of Total Revenue (PKR)" fld="12" baseField="0" baseItem="0"/>
  </dataFields>
  <formats count="35">
    <format dxfId="36">
      <pivotArea field="6" type="button" dataOnly="0" labelOnly="1" outline="0" axis="axisRow" fieldPosition="0"/>
    </format>
    <format dxfId="35">
      <pivotArea dataOnly="0" labelOnly="1" outline="0" axis="axisValues" fieldPosition="0"/>
    </format>
    <format dxfId="34">
      <pivotArea dataOnly="0" labelOnly="1" outline="0" axis="axisValues" fieldPosition="0"/>
    </format>
    <format dxfId="33">
      <pivotArea dataOnly="0" labelOnly="1" grandRow="1" outline="0" fieldPosition="0"/>
    </format>
    <format dxfId="32">
      <pivotArea grandRow="1" outline="0" collapsedLevelsAreSubtotals="1" fieldPosition="0"/>
    </format>
    <format dxfId="31">
      <pivotArea field="6" type="button" dataOnly="0" labelOnly="1" outline="0" axis="axisRow" fieldPosition="0"/>
    </format>
    <format dxfId="30">
      <pivotArea dataOnly="0" labelOnly="1" outline="0" axis="axisValues" fieldPosition="0"/>
    </format>
    <format dxfId="29">
      <pivotArea dataOnly="0" labelOnly="1" outline="0" axis="axisValues" fieldPosition="0"/>
    </format>
    <format dxfId="28">
      <pivotArea dataOnly="0" labelOnly="1" grandRow="1" outline="0" fieldPosition="0"/>
    </format>
    <format dxfId="27">
      <pivotArea grandRow="1" outline="0" collapsedLevelsAreSubtotals="1" fieldPosition="0"/>
    </format>
    <format dxfId="26">
      <pivotArea field="6" type="button" dataOnly="0" labelOnly="1" outline="0" axis="axisRow" fieldPosition="0"/>
    </format>
    <format dxfId="25">
      <pivotArea dataOnly="0" labelOnly="1" outline="0" axis="axisValues" fieldPosition="0"/>
    </format>
    <format dxfId="24">
      <pivotArea dataOnly="0" labelOnly="1" outline="0" axis="axisValues" fieldPosition="0"/>
    </format>
    <format dxfId="23">
      <pivotArea dataOnly="0" labelOnly="1" grandRow="1" outline="0" fieldPosition="0"/>
    </format>
    <format dxfId="22">
      <pivotArea grandRow="1" outline="0" collapsedLevelsAreSubtotals="1" fieldPosition="0"/>
    </format>
    <format dxfId="21">
      <pivotArea field="6" type="button" dataOnly="0" labelOnly="1" outline="0" axis="axisRow" fieldPosition="0"/>
    </format>
    <format dxfId="20">
      <pivotArea dataOnly="0" labelOnly="1" outline="0" axis="axisValues" fieldPosition="0"/>
    </format>
    <format dxfId="19">
      <pivotArea dataOnly="0" labelOnly="1" outline="0" axis="axisValues" fieldPosition="0"/>
    </format>
    <format dxfId="18">
      <pivotArea dataOnly="0" labelOnly="1" grandRow="1" outline="0" fieldPosition="0"/>
    </format>
    <format dxfId="17">
      <pivotArea grandRow="1" outline="0" collapsedLevelsAreSubtotals="1" fieldPosition="0"/>
    </format>
    <format dxfId="16">
      <pivotArea field="6" type="button" dataOnly="0" labelOnly="1" outline="0" axis="axisRow" fieldPosition="0"/>
    </format>
    <format dxfId="15">
      <pivotArea dataOnly="0" labelOnly="1" outline="0" axis="axisValues" fieldPosition="0"/>
    </format>
    <format dxfId="14">
      <pivotArea dataOnly="0" labelOnly="1" outline="0" axis="axisValues" fieldPosition="0"/>
    </format>
    <format dxfId="13">
      <pivotArea dataOnly="0" labelOnly="1" grandRow="1" outline="0" fieldPosition="0"/>
    </format>
    <format dxfId="12">
      <pivotArea grandRow="1" outline="0" collapsedLevelsAreSubtotals="1" fieldPosition="0"/>
    </format>
    <format dxfId="11">
      <pivotArea field="6" type="button" dataOnly="0" labelOnly="1" outline="0" axis="axisRow" fieldPosition="0"/>
    </format>
    <format dxfId="10">
      <pivotArea dataOnly="0" labelOnly="1" outline="0" axis="axisValues" fieldPosition="0"/>
    </format>
    <format dxfId="9">
      <pivotArea dataOnly="0" labelOnly="1" outline="0" axis="axisValues" fieldPosition="0"/>
    </format>
    <format dxfId="8">
      <pivotArea dataOnly="0" labelOnly="1" grandRow="1" outline="0" fieldPosition="0"/>
    </format>
    <format dxfId="7">
      <pivotArea grandRow="1" outline="0" collapsedLevelsAreSubtotals="1" fieldPosition="0"/>
    </format>
    <format dxfId="6">
      <pivotArea field="6" type="button" dataOnly="0" labelOnly="1" outline="0" axis="axisRow" fieldPosition="0"/>
    </format>
    <format dxfId="5">
      <pivotArea dataOnly="0" labelOnly="1" outline="0" axis="axisValues" fieldPosition="0"/>
    </format>
    <format dxfId="4">
      <pivotArea dataOnly="0" labelOnly="1" outline="0" axis="axisValues" fieldPosition="0"/>
    </format>
    <format dxfId="3">
      <pivotArea dataOnly="0" labelOnly="1" grandRow="1" outline="0" fieldPosition="0"/>
    </format>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E18:G31" firstHeaderRow="0" firstDataRow="1" firstDataCol="1"/>
  <pivotFields count="22">
    <pivotField showAll="0"/>
    <pivotField numFmtId="164" showAll="0"/>
    <pivotField axis="axisRow" showAll="0">
      <items count="13">
        <item x="10"/>
        <item x="6"/>
        <item x="5"/>
        <item x="3"/>
        <item x="4"/>
        <item x="2"/>
        <item x="9"/>
        <item x="11"/>
        <item x="8"/>
        <item x="1"/>
        <item x="0"/>
        <item x="7"/>
        <item t="default"/>
      </items>
    </pivotField>
    <pivotField showAll="0">
      <items count="5">
        <item x="2"/>
        <item x="1"/>
        <item x="3"/>
        <item x="0"/>
        <item t="default"/>
      </items>
    </pivotField>
    <pivotField showAll="0"/>
    <pivotField showAll="0"/>
    <pivotField showAll="0">
      <items count="9">
        <item x="1"/>
        <item x="2"/>
        <item x="0"/>
        <item x="7"/>
        <item x="4"/>
        <item x="5"/>
        <item x="3"/>
        <item x="6"/>
        <item t="default"/>
      </items>
    </pivotField>
    <pivotField showAll="0">
      <items count="6">
        <item x="2"/>
        <item x="1"/>
        <item x="4"/>
        <item x="0"/>
        <item x="3"/>
        <item t="default"/>
      </items>
    </pivotField>
    <pivotField showAll="0"/>
    <pivotField showAll="0"/>
    <pivotField showAll="0"/>
    <pivotField showAll="0"/>
    <pivotField dataField="1" showAll="0"/>
    <pivotField numFmtId="10" showAll="0"/>
    <pivotField showAll="0"/>
    <pivotField showAll="0"/>
    <pivotField dataField="1" showAll="0"/>
    <pivotField showAll="0">
      <items count="3">
        <item x="0"/>
        <item x="1"/>
        <item t="default"/>
      </items>
    </pivotField>
    <pivotField showAll="0"/>
    <pivotField showAll="0"/>
    <pivotField showAll="0"/>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 Revenue (PKR)" fld="12" baseField="0" baseItem="0"/>
    <dataField name=" Profit (PKR)" fld="16" baseField="0" baseItem="0"/>
  </dataFields>
  <formats count="35">
    <format dxfId="71">
      <pivotArea grandRow="1" outline="0" collapsedLevelsAreSubtotals="1" fieldPosition="0"/>
    </format>
    <format dxfId="70">
      <pivotArea dataOnly="0" labelOnly="1" grandRow="1" outline="0" fieldPosition="0"/>
    </format>
    <format dxfId="69">
      <pivotArea field="2" type="button" dataOnly="0" labelOnly="1" outline="0" axis="axisRow" fieldPosition="0"/>
    </format>
    <format dxfId="68">
      <pivotArea dataOnly="0" labelOnly="1" outline="0" fieldPosition="0">
        <references count="1">
          <reference field="4294967294" count="1">
            <x v="0"/>
          </reference>
        </references>
      </pivotArea>
    </format>
    <format dxfId="67">
      <pivotArea dataOnly="0" labelOnly="1" outline="0" fieldPosition="0">
        <references count="1">
          <reference field="4294967294" count="1">
            <x v="1"/>
          </reference>
        </references>
      </pivotArea>
    </format>
    <format dxfId="66">
      <pivotArea grandRow="1" outline="0" collapsedLevelsAreSubtotals="1" fieldPosition="0"/>
    </format>
    <format dxfId="65">
      <pivotArea dataOnly="0" labelOnly="1" grandRow="1" outline="0" fieldPosition="0"/>
    </format>
    <format dxfId="64">
      <pivotArea field="2" type="button" dataOnly="0" labelOnly="1" outline="0" axis="axisRow" fieldPosition="0"/>
    </format>
    <format dxfId="63">
      <pivotArea dataOnly="0" labelOnly="1" outline="0" fieldPosition="0">
        <references count="1">
          <reference field="4294967294" count="1">
            <x v="0"/>
          </reference>
        </references>
      </pivotArea>
    </format>
    <format dxfId="62">
      <pivotArea dataOnly="0" labelOnly="1" outline="0" fieldPosition="0">
        <references count="1">
          <reference field="4294967294" count="1">
            <x v="1"/>
          </reference>
        </references>
      </pivotArea>
    </format>
    <format dxfId="61">
      <pivotArea grandRow="1" outline="0" collapsedLevelsAreSubtotals="1" fieldPosition="0"/>
    </format>
    <format dxfId="60">
      <pivotArea dataOnly="0" labelOnly="1" grandRow="1" outline="0" fieldPosition="0"/>
    </format>
    <format dxfId="59">
      <pivotArea field="2" type="button" dataOnly="0" labelOnly="1" outline="0" axis="axisRow" fieldPosition="0"/>
    </format>
    <format dxfId="58">
      <pivotArea dataOnly="0" labelOnly="1" outline="0" fieldPosition="0">
        <references count="1">
          <reference field="4294967294" count="1">
            <x v="0"/>
          </reference>
        </references>
      </pivotArea>
    </format>
    <format dxfId="57">
      <pivotArea dataOnly="0" labelOnly="1" outline="0" fieldPosition="0">
        <references count="1">
          <reference field="4294967294" count="1">
            <x v="1"/>
          </reference>
        </references>
      </pivotArea>
    </format>
    <format dxfId="56">
      <pivotArea grandRow="1" outline="0" collapsedLevelsAreSubtotals="1" fieldPosition="0"/>
    </format>
    <format dxfId="55">
      <pivotArea dataOnly="0" labelOnly="1" grandRow="1" outline="0" fieldPosition="0"/>
    </format>
    <format dxfId="54">
      <pivotArea field="2" type="button" dataOnly="0" labelOnly="1" outline="0" axis="axisRow" fieldPosition="0"/>
    </format>
    <format dxfId="53">
      <pivotArea dataOnly="0" labelOnly="1" outline="0" fieldPosition="0">
        <references count="1">
          <reference field="4294967294" count="1">
            <x v="0"/>
          </reference>
        </references>
      </pivotArea>
    </format>
    <format dxfId="52">
      <pivotArea dataOnly="0" labelOnly="1" outline="0" fieldPosition="0">
        <references count="1">
          <reference field="4294967294" count="1">
            <x v="1"/>
          </reference>
        </references>
      </pivotArea>
    </format>
    <format dxfId="51">
      <pivotArea grandRow="1" outline="0" collapsedLevelsAreSubtotals="1" fieldPosition="0"/>
    </format>
    <format dxfId="50">
      <pivotArea dataOnly="0" labelOnly="1" grandRow="1" outline="0" fieldPosition="0"/>
    </format>
    <format dxfId="49">
      <pivotArea field="2" type="button" dataOnly="0" labelOnly="1" outline="0" axis="axisRow" fieldPosition="0"/>
    </format>
    <format dxfId="48">
      <pivotArea dataOnly="0" labelOnly="1" outline="0" fieldPosition="0">
        <references count="1">
          <reference field="4294967294" count="1">
            <x v="0"/>
          </reference>
        </references>
      </pivotArea>
    </format>
    <format dxfId="47">
      <pivotArea dataOnly="0" labelOnly="1" outline="0" fieldPosition="0">
        <references count="1">
          <reference field="4294967294" count="1">
            <x v="1"/>
          </reference>
        </references>
      </pivotArea>
    </format>
    <format dxfId="46">
      <pivotArea grandRow="1" outline="0" collapsedLevelsAreSubtotals="1" fieldPosition="0"/>
    </format>
    <format dxfId="45">
      <pivotArea dataOnly="0" labelOnly="1" grandRow="1" outline="0" fieldPosition="0"/>
    </format>
    <format dxfId="44">
      <pivotArea field="2" type="button" dataOnly="0" labelOnly="1" outline="0" axis="axisRow" fieldPosition="0"/>
    </format>
    <format dxfId="43">
      <pivotArea dataOnly="0" labelOnly="1" outline="0" fieldPosition="0">
        <references count="1">
          <reference field="4294967294" count="1">
            <x v="0"/>
          </reference>
        </references>
      </pivotArea>
    </format>
    <format dxfId="42">
      <pivotArea dataOnly="0" labelOnly="1" outline="0" fieldPosition="0">
        <references count="1">
          <reference field="4294967294" count="1">
            <x v="1"/>
          </reference>
        </references>
      </pivotArea>
    </format>
    <format dxfId="41">
      <pivotArea grandRow="1" outline="0" collapsedLevelsAreSubtotals="1" fieldPosition="0"/>
    </format>
    <format dxfId="40">
      <pivotArea dataOnly="0" labelOnly="1" grandRow="1" outline="0" fieldPosition="0"/>
    </format>
    <format dxfId="39">
      <pivotArea field="2" type="button" dataOnly="0" labelOnly="1" outline="0" axis="axisRow" fieldPosition="0"/>
    </format>
    <format dxfId="38">
      <pivotArea dataOnly="0" labelOnly="1" outline="0" fieldPosition="0">
        <references count="1">
          <reference field="4294967294" count="1">
            <x v="0"/>
          </reference>
        </references>
      </pivotArea>
    </format>
    <format dxfId="37">
      <pivotArea dataOnly="0" labelOnly="1" outline="0" fieldPosition="0">
        <references count="1">
          <reference field="4294967294" count="1">
            <x v="1"/>
          </reference>
        </references>
      </pivotArea>
    </format>
  </formats>
  <chartFormats count="2">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olHeaderCaption="Payment Method">
  <location ref="E5:L12" firstHeaderRow="1" firstDataRow="2" firstDataCol="1"/>
  <pivotFields count="22">
    <pivotField showAll="0"/>
    <pivotField numFmtId="164" showAll="0"/>
    <pivotField showAll="0">
      <items count="13">
        <item x="10"/>
        <item x="6"/>
        <item x="5"/>
        <item x="3"/>
        <item x="4"/>
        <item x="2"/>
        <item x="9"/>
        <item x="11"/>
        <item x="8"/>
        <item x="1"/>
        <item x="0"/>
        <item x="7"/>
        <item t="default"/>
      </items>
    </pivotField>
    <pivotField showAll="0">
      <items count="5">
        <item x="2"/>
        <item x="1"/>
        <item x="3"/>
        <item x="0"/>
        <item t="default"/>
      </items>
    </pivotField>
    <pivotField showAll="0"/>
    <pivotField showAll="0"/>
    <pivotField showAll="0">
      <items count="9">
        <item x="1"/>
        <item x="2"/>
        <item x="0"/>
        <item x="7"/>
        <item x="4"/>
        <item x="5"/>
        <item x="3"/>
        <item x="6"/>
        <item t="default"/>
      </items>
    </pivotField>
    <pivotField showAll="0">
      <items count="6">
        <item x="2"/>
        <item x="1"/>
        <item x="4"/>
        <item x="0"/>
        <item x="3"/>
        <item t="default"/>
      </items>
    </pivotField>
    <pivotField showAll="0"/>
    <pivotField showAll="0"/>
    <pivotField showAll="0"/>
    <pivotField showAll="0"/>
    <pivotField showAll="0"/>
    <pivotField numFmtId="10" showAll="0"/>
    <pivotField showAll="0"/>
    <pivotField showAll="0"/>
    <pivotField showAll="0"/>
    <pivotField showAll="0">
      <items count="3">
        <item x="0"/>
        <item x="1"/>
        <item t="default"/>
      </items>
    </pivotField>
    <pivotField showAll="0"/>
    <pivotField axis="axisCol" showAll="0">
      <items count="7">
        <item x="0"/>
        <item x="3"/>
        <item x="2"/>
        <item x="4"/>
        <item x="1"/>
        <item x="5"/>
        <item t="default"/>
      </items>
    </pivotField>
    <pivotField axis="axisRow" dataField="1" showAll="0">
      <items count="6">
        <item sd="0" x="4"/>
        <item sd="0" x="1"/>
        <item sd="0" x="0"/>
        <item sd="0" x="2"/>
        <item x="3"/>
        <item t="default"/>
      </items>
    </pivotField>
    <pivotField showAll="0"/>
  </pivotFields>
  <rowFields count="1">
    <field x="20"/>
  </rowFields>
  <rowItems count="6">
    <i>
      <x/>
    </i>
    <i>
      <x v="1"/>
    </i>
    <i>
      <x v="2"/>
    </i>
    <i>
      <x v="3"/>
    </i>
    <i>
      <x v="4"/>
    </i>
    <i t="grand">
      <x/>
    </i>
  </rowItems>
  <colFields count="1">
    <field x="19"/>
  </colFields>
  <colItems count="7">
    <i>
      <x/>
    </i>
    <i>
      <x v="1"/>
    </i>
    <i>
      <x v="2"/>
    </i>
    <i>
      <x v="3"/>
    </i>
    <i>
      <x v="4"/>
    </i>
    <i>
      <x v="5"/>
    </i>
    <i t="grand">
      <x/>
    </i>
  </colItems>
  <dataFields count="1">
    <dataField name="Delivery Status " fld="20" subtotal="count" baseField="0" baseItem="0"/>
  </dataFields>
  <formats count="56">
    <format dxfId="127">
      <pivotArea type="origin" dataOnly="0" labelOnly="1" outline="0" fieldPosition="0"/>
    </format>
    <format dxfId="126">
      <pivotArea field="19" type="button" dataOnly="0" labelOnly="1" outline="0" axis="axisCol" fieldPosition="0"/>
    </format>
    <format dxfId="125">
      <pivotArea type="topRight" dataOnly="0" labelOnly="1" outline="0" fieldPosition="0"/>
    </format>
    <format dxfId="124">
      <pivotArea field="20" type="button" dataOnly="0" labelOnly="1" outline="0" axis="axisRow" fieldPosition="0"/>
    </format>
    <format dxfId="123">
      <pivotArea dataOnly="0" labelOnly="1" fieldPosition="0">
        <references count="1">
          <reference field="19" count="0"/>
        </references>
      </pivotArea>
    </format>
    <format dxfId="122">
      <pivotArea dataOnly="0" labelOnly="1" grandCol="1" outline="0" fieldPosition="0"/>
    </format>
    <format dxfId="121">
      <pivotArea grandRow="1" outline="0" collapsedLevelsAreSubtotals="1" fieldPosition="0"/>
    </format>
    <format dxfId="120">
      <pivotArea dataOnly="0" labelOnly="1" grandRow="1" outline="0" fieldPosition="0"/>
    </format>
    <format dxfId="119">
      <pivotArea type="origin" dataOnly="0" labelOnly="1" outline="0" fieldPosition="0"/>
    </format>
    <format dxfId="118">
      <pivotArea field="19" type="button" dataOnly="0" labelOnly="1" outline="0" axis="axisCol" fieldPosition="0"/>
    </format>
    <format dxfId="117">
      <pivotArea type="topRight" dataOnly="0" labelOnly="1" outline="0" fieldPosition="0"/>
    </format>
    <format dxfId="116">
      <pivotArea field="20" type="button" dataOnly="0" labelOnly="1" outline="0" axis="axisRow" fieldPosition="0"/>
    </format>
    <format dxfId="115">
      <pivotArea dataOnly="0" labelOnly="1" fieldPosition="0">
        <references count="1">
          <reference field="19" count="0"/>
        </references>
      </pivotArea>
    </format>
    <format dxfId="114">
      <pivotArea dataOnly="0" labelOnly="1" grandCol="1" outline="0" fieldPosition="0"/>
    </format>
    <format dxfId="113">
      <pivotArea grandRow="1" outline="0" collapsedLevelsAreSubtotals="1" fieldPosition="0"/>
    </format>
    <format dxfId="112">
      <pivotArea dataOnly="0" labelOnly="1" grandRow="1" outline="0" fieldPosition="0"/>
    </format>
    <format dxfId="111">
      <pivotArea type="origin" dataOnly="0" labelOnly="1" outline="0" fieldPosition="0"/>
    </format>
    <format dxfId="110">
      <pivotArea field="19" type="button" dataOnly="0" labelOnly="1" outline="0" axis="axisCol" fieldPosition="0"/>
    </format>
    <format dxfId="109">
      <pivotArea type="topRight" dataOnly="0" labelOnly="1" outline="0" fieldPosition="0"/>
    </format>
    <format dxfId="108">
      <pivotArea field="20" type="button" dataOnly="0" labelOnly="1" outline="0" axis="axisRow" fieldPosition="0"/>
    </format>
    <format dxfId="107">
      <pivotArea dataOnly="0" labelOnly="1" fieldPosition="0">
        <references count="1">
          <reference field="19" count="0"/>
        </references>
      </pivotArea>
    </format>
    <format dxfId="106">
      <pivotArea dataOnly="0" labelOnly="1" grandCol="1" outline="0" fieldPosition="0"/>
    </format>
    <format dxfId="105">
      <pivotArea grandRow="1" outline="0" collapsedLevelsAreSubtotals="1" fieldPosition="0"/>
    </format>
    <format dxfId="104">
      <pivotArea dataOnly="0" labelOnly="1" grandRow="1" outline="0" fieldPosition="0"/>
    </format>
    <format dxfId="103">
      <pivotArea type="origin" dataOnly="0" labelOnly="1" outline="0" fieldPosition="0"/>
    </format>
    <format dxfId="102">
      <pivotArea field="19" type="button" dataOnly="0" labelOnly="1" outline="0" axis="axisCol" fieldPosition="0"/>
    </format>
    <format dxfId="101">
      <pivotArea type="topRight" dataOnly="0" labelOnly="1" outline="0" fieldPosition="0"/>
    </format>
    <format dxfId="100">
      <pivotArea field="20" type="button" dataOnly="0" labelOnly="1" outline="0" axis="axisRow" fieldPosition="0"/>
    </format>
    <format dxfId="99">
      <pivotArea dataOnly="0" labelOnly="1" fieldPosition="0">
        <references count="1">
          <reference field="19" count="0"/>
        </references>
      </pivotArea>
    </format>
    <format dxfId="98">
      <pivotArea dataOnly="0" labelOnly="1" grandCol="1" outline="0" fieldPosition="0"/>
    </format>
    <format dxfId="97">
      <pivotArea grandRow="1" outline="0" collapsedLevelsAreSubtotals="1" fieldPosition="0"/>
    </format>
    <format dxfId="96">
      <pivotArea dataOnly="0" labelOnly="1" grandRow="1" outline="0" fieldPosition="0"/>
    </format>
    <format dxfId="95">
      <pivotArea type="origin" dataOnly="0" labelOnly="1" outline="0" fieldPosition="0"/>
    </format>
    <format dxfId="94">
      <pivotArea field="19" type="button" dataOnly="0" labelOnly="1" outline="0" axis="axisCol" fieldPosition="0"/>
    </format>
    <format dxfId="93">
      <pivotArea type="topRight" dataOnly="0" labelOnly="1" outline="0" fieldPosition="0"/>
    </format>
    <format dxfId="92">
      <pivotArea field="20" type="button" dataOnly="0" labelOnly="1" outline="0" axis="axisRow" fieldPosition="0"/>
    </format>
    <format dxfId="91">
      <pivotArea dataOnly="0" labelOnly="1" fieldPosition="0">
        <references count="1">
          <reference field="19" count="0"/>
        </references>
      </pivotArea>
    </format>
    <format dxfId="90">
      <pivotArea dataOnly="0" labelOnly="1" grandCol="1" outline="0" fieldPosition="0"/>
    </format>
    <format dxfId="89">
      <pivotArea grandRow="1" outline="0" collapsedLevelsAreSubtotals="1" fieldPosition="0"/>
    </format>
    <format dxfId="88">
      <pivotArea dataOnly="0" labelOnly="1" grandRow="1" outline="0" fieldPosition="0"/>
    </format>
    <format dxfId="87">
      <pivotArea type="origin" dataOnly="0" labelOnly="1" outline="0" fieldPosition="0"/>
    </format>
    <format dxfId="86">
      <pivotArea field="19" type="button" dataOnly="0" labelOnly="1" outline="0" axis="axisCol" fieldPosition="0"/>
    </format>
    <format dxfId="85">
      <pivotArea type="topRight" dataOnly="0" labelOnly="1" outline="0" fieldPosition="0"/>
    </format>
    <format dxfId="84">
      <pivotArea field="20" type="button" dataOnly="0" labelOnly="1" outline="0" axis="axisRow" fieldPosition="0"/>
    </format>
    <format dxfId="83">
      <pivotArea dataOnly="0" labelOnly="1" fieldPosition="0">
        <references count="1">
          <reference field="19" count="0"/>
        </references>
      </pivotArea>
    </format>
    <format dxfId="82">
      <pivotArea dataOnly="0" labelOnly="1" grandCol="1" outline="0" fieldPosition="0"/>
    </format>
    <format dxfId="81">
      <pivotArea grandRow="1" outline="0" collapsedLevelsAreSubtotals="1" fieldPosition="0"/>
    </format>
    <format dxfId="80">
      <pivotArea dataOnly="0" labelOnly="1" grandRow="1" outline="0" fieldPosition="0"/>
    </format>
    <format dxfId="79">
      <pivotArea type="origin" dataOnly="0" labelOnly="1" outline="0" fieldPosition="0"/>
    </format>
    <format dxfId="78">
      <pivotArea field="19" type="button" dataOnly="0" labelOnly="1" outline="0" axis="axisCol" fieldPosition="0"/>
    </format>
    <format dxfId="77">
      <pivotArea type="topRight" dataOnly="0" labelOnly="1" outline="0" fieldPosition="0"/>
    </format>
    <format dxfId="76">
      <pivotArea field="20" type="button" dataOnly="0" labelOnly="1" outline="0" axis="axisRow" fieldPosition="0"/>
    </format>
    <format dxfId="75">
      <pivotArea dataOnly="0" labelOnly="1" fieldPosition="0">
        <references count="1">
          <reference field="19" count="0"/>
        </references>
      </pivotArea>
    </format>
    <format dxfId="74">
      <pivotArea dataOnly="0" labelOnly="1" grandCol="1" outline="0" fieldPosition="0"/>
    </format>
    <format dxfId="73">
      <pivotArea grandRow="1" outline="0" collapsedLevelsAreSubtotals="1" fieldPosition="0"/>
    </format>
    <format dxfId="7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4" name="PivotTable4"/>
    <pivotTable tabId="4" name="PivotTable2"/>
    <pivotTable tabId="4"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2" sourceName="Region">
  <pivotTables>
    <pivotTable tabId="7" name="PivotTable2"/>
    <pivotTable tabId="4" name="PivotTable3"/>
    <pivotTable tabId="4" name="PivotTable2"/>
    <pivotTable tabId="4" name="PivotTable4"/>
    <pivotTable tabId="7" name="PivotTable3"/>
    <pivotTable tabId="7" name="PivotTable4"/>
    <pivotTable tabId="7" name="PivotTable1"/>
  </pivotTables>
  <data>
    <tabular pivotCacheId="1">
      <items count="8">
        <i x="1" s="1"/>
        <i x="2" s="1"/>
        <i x="0" s="1"/>
        <i x="7" s="1"/>
        <i x="4" s="1"/>
        <i x="5"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2" sourceName="Category">
  <pivotTables>
    <pivotTable tabId="7" name="PivotTable2"/>
    <pivotTable tabId="4" name="PivotTable3"/>
    <pivotTable tabId="4" name="PivotTable2"/>
    <pivotTable tabId="4" name="PivotTable4"/>
    <pivotTable tabId="7" name="PivotTable3"/>
    <pivotTable tabId="7" name="PivotTable4"/>
    <pivotTable tabId="7" name="PivotTable1"/>
  </pivotTables>
  <data>
    <tabular pivotCacheId="1">
      <items count="5">
        <i x="2" s="1"/>
        <i x="1"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1" sourceName="Month">
  <pivotTables>
    <pivotTable tabId="7" name="PivotTable2"/>
    <pivotTable tabId="4" name="PivotTable2"/>
    <pivotTable tabId="4" name="PivotTable3"/>
    <pivotTable tabId="4" name="PivotTable4"/>
    <pivotTable tabId="7" name="PivotTable3"/>
    <pivotTable tabId="7" name="PivotTable4"/>
    <pivotTable tabId="7" name="PivotTable1"/>
  </pivotTables>
  <data>
    <tabular pivotCacheId="1">
      <items count="12">
        <i x="10" s="1"/>
        <i x="6" s="1"/>
        <i x="5" s="1"/>
        <i x="3" s="1"/>
        <i x="4" s="1"/>
        <i x="2" s="1"/>
        <i x="9" s="1"/>
        <i x="11" s="1"/>
        <i x="8" s="1"/>
        <i x="1" s="1"/>
        <i x="0"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7" name="PivotTable2"/>
    <pivotTable tabId="4" name="PivotTable2"/>
    <pivotTable tabId="4" name="PivotTable3"/>
    <pivotTable tabId="4" name="PivotTable4"/>
    <pivotTable tabId="7" name="PivotTable3"/>
    <pivotTable tabId="7" name="PivotTable4"/>
    <pivotTable tabId="7" name="PivotTable1"/>
  </pivotTables>
  <data>
    <tabular pivotCacheId="1">
      <items count="4">
        <i x="2" s="1"/>
        <i x="1"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alesperson1" sourceName="Salesperson">
  <pivotTables>
    <pivotTable tabId="7" name="PivotTable2"/>
  </pivotTables>
  <data>
    <tabular pivotCacheId="1">
      <items count="10">
        <i x="8" s="1"/>
        <i x="7" s="1"/>
        <i x="6" s="1"/>
        <i x="1" s="1"/>
        <i x="5" s="1"/>
        <i x="4" s="1"/>
        <i x="3" s="1"/>
        <i x="0" s="1"/>
        <i x="2"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Type" cache="Slicer_Customer_Type" caption="Customer Type" style="Slicer Style 6" rowHeight="241300"/>
  <slicer name="Region" cache="Slicer_Region2" caption="Region" style="Slicer Style 6" rowHeight="241300"/>
  <slicer name="Category" cache="Slicer_Category2" caption="Category" style="Slicer Style 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2" cache="Slicer_Region2" caption="Region" startItem="4" style="Slicer Style 6" rowHeight="241300"/>
  <slicer name="Category 2" cache="Slicer_Category2" caption="Category" startItem="2" style="Slicer Style 6" rowHeight="241300"/>
  <slicer name="Month 1" cache="Slicer_Month1" caption="Month" style="Slicer Style 6" rowHeight="241300"/>
  <slicer name="Quarter" cache="Slicer_Quarter" caption="Quarter" style="Slicer Style 6" rowHeight="241300"/>
  <slicer name="Salesperson 1" cache="Slicer_Salesperson1" caption="Salesperson" startItem="2" style="Slicer Style 6" rowHeight="241300"/>
</slicers>
</file>

<file path=xl/tables/table1.xml><?xml version="1.0" encoding="utf-8"?>
<table xmlns="http://schemas.openxmlformats.org/spreadsheetml/2006/main" id="1" name="Table1" displayName="Table1" ref="A1:V502" totalsRowCount="1" headerRowDxfId="238" dataDxfId="236" headerRowBorderDxfId="237" tableBorderDxfId="235" totalsRowBorderDxfId="234">
  <autoFilter ref="A1:V501"/>
  <sortState ref="A2:V501">
    <sortCondition ref="A1:A501"/>
  </sortState>
  <tableColumns count="22">
    <tableColumn id="1" name="Order ID" dataDxfId="233" totalsRowDxfId="232"/>
    <tableColumn id="18" name="Date" dataDxfId="231" totalsRowDxfId="230">
      <calculatedColumnFormula>DATEVALUE(Table1[[#This Row],[Date2]])</calculatedColumnFormula>
    </tableColumn>
    <tableColumn id="19" name="Month" dataDxfId="229" totalsRowDxfId="228">
      <calculatedColumnFormula>TEXT(Table1[[#This Row],[Date]],"MMM")</calculatedColumnFormula>
    </tableColumn>
    <tableColumn id="21" name="Quarter" dataDxfId="227" totalsRowDxfId="226">
      <calculatedColumnFormula>"Q"&amp;ROUNDUP(MONTH(Table1[[#This Row],[Date]])/3,0)</calculatedColumnFormula>
    </tableColumn>
    <tableColumn id="20" name="Year" dataDxfId="225" totalsRowDxfId="224">
      <calculatedColumnFormula>YEAR(Table1[[#This Row],[Date]])</calculatedColumnFormula>
    </tableColumn>
    <tableColumn id="3" name="Salesperson" dataDxfId="223" totalsRowDxfId="222"/>
    <tableColumn id="4" name="Region" dataDxfId="221" totalsRowDxfId="220"/>
    <tableColumn id="5" name="Category" dataDxfId="219" totalsRowDxfId="218"/>
    <tableColumn id="6" name="Product Name" dataDxfId="217" totalsRowDxfId="216"/>
    <tableColumn id="7" name="Units Sold" dataDxfId="215" totalsRowDxfId="214"/>
    <tableColumn id="8" name="Unit Price (PKR)" dataDxfId="213" totalsRowDxfId="212"/>
    <tableColumn id="9" name="Discount %" dataDxfId="211" totalsRowDxfId="210"/>
    <tableColumn id="10" name="Total Revenue (PKR)" totalsRowFunction="sum" totalsRowDxfId="209"/>
    <tableColumn id="22" name="Profit Margin%" totalsRowFunction="custom" dataDxfId="208" totalsRowDxfId="207">
      <calculatedColumnFormula>(Table1[[#This Row],[Profit (PKR)]]/Table1[[#This Row],[Total Revenue (PKR)]])</calculatedColumnFormula>
      <totalsRowFormula>AVERAGE(Table1[Profit Margin%])</totalsRowFormula>
    </tableColumn>
    <tableColumn id="11" name="Cost Price (Unit)" dataDxfId="206" totalsRowDxfId="205"/>
    <tableColumn id="12" name="Total Cost (PKR)" dataDxfId="204" totalsRowDxfId="203"/>
    <tableColumn id="13" name="Profit (PKR)" totalsRowFunction="custom" dataDxfId="202" totalsRowDxfId="201">
      <totalsRowFormula>SUM(Table1[Profit (PKR)])</totalsRowFormula>
    </tableColumn>
    <tableColumn id="14" name="Customer Type" dataDxfId="200" totalsRowDxfId="199"/>
    <tableColumn id="23" name="Order Flag " dataDxfId="198" totalsRowDxfId="197">
      <calculatedColumnFormula>IF(AND(Table1[[#This Row],[Total Revenue (PKR)]]&gt;50000, Table1[[#This Row],[Discount %]]&lt;10),"High Value","Standard")</calculatedColumnFormula>
    </tableColumn>
    <tableColumn id="15" name="Payment Method" dataDxfId="196" totalsRowDxfId="195"/>
    <tableColumn id="16" name="Delivery Status" dataDxfId="194" totalsRowDxfId="193"/>
    <tableColumn id="2" name="Date2" totalsRowFunction="sum" dataDxfId="192" totalsRowDxfId="191"/>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D4:I14" totalsRowShown="0" headerRowDxfId="187" headerRowBorderDxfId="186" tableBorderDxfId="185" totalsRowBorderDxfId="184">
  <autoFilter ref="D4:I14"/>
  <sortState ref="D5:I14">
    <sortCondition ref="D4:D14"/>
  </sortState>
  <tableColumns count="6">
    <tableColumn id="1" name="Salesperson" dataDxfId="183" totalsRowDxfId="182"/>
    <tableColumn id="2" name="Total Revenue " dataDxfId="181" totalsRowDxfId="180">
      <calculatedColumnFormula>SUMIFS('Cleaned Data'!M:M,'Cleaned Data'!F:F,Table2[[#This Row],[Salesperson]])</calculatedColumnFormula>
    </tableColumn>
    <tableColumn id="3" name="Total Profit" dataDxfId="179">
      <calculatedColumnFormula>SUMIFS('Cleaned Data'!Q:Q,'Cleaned Data'!F:F,Table2[[#This Row],[Salesperson]])</calculatedColumnFormula>
    </tableColumn>
    <tableColumn id="4" name="No.of Orders" dataDxfId="178">
      <calculatedColumnFormula>COUNTIFS('Cleaned Data'!F:F,Table2[[#This Row],[Salesperson]])</calculatedColumnFormula>
    </tableColumn>
    <tableColumn id="5" name="Avg Discount" dataDxfId="177">
      <calculatedColumnFormula>AVERAGEIFS('Cleaned Data'!L:L,'Cleaned Data'!F:F,Table2[[#This Row],[Salesperson]])</calculatedColumnFormula>
    </tableColumn>
    <tableColumn id="6" name="Delivered(#)" dataDxfId="176">
      <calculatedColumnFormula>COUNTIFS('Cleaned Data'!F:F,Table2[[#This Row],[Salesperson]],'Cleaned Data'!U:U,"Delivered")</calculatedColumnFormula>
    </tableColumn>
  </tableColumns>
  <tableStyleInfo name="TableStyleLight1" showFirstColumn="0" showLastColumn="0" showRowStripes="1" showColumnStripes="0"/>
</table>
</file>

<file path=xl/tables/table3.xml><?xml version="1.0" encoding="utf-8"?>
<table xmlns="http://schemas.openxmlformats.org/spreadsheetml/2006/main" id="3" name="Table3" displayName="Table3" ref="F18:I26" totalsRowShown="0" headerRowDxfId="175" headerRowBorderDxfId="174" tableBorderDxfId="173" totalsRowBorderDxfId="172">
  <autoFilter ref="F18:I26"/>
  <sortState ref="F19:I26">
    <sortCondition ref="G18:G26"/>
  </sortState>
  <tableColumns count="4">
    <tableColumn id="1" name="Region" dataDxfId="171"/>
    <tableColumn id="2" name="Total Revenue" dataDxfId="170">
      <calculatedColumnFormula>SUMIFS('Cleaned Data'!M:M,'Cleaned Data'!G:G,Table3[[#This Row],[Region]])</calculatedColumnFormula>
    </tableColumn>
    <tableColumn id="3" name="Total Profit" dataDxfId="169">
      <calculatedColumnFormula>SUMIFS('Cleaned Data'!Q:Q,'Cleaned Data'!G:G,'Formulas &amp; Analysis'!F19)</calculatedColumnFormula>
    </tableColumn>
    <tableColumn id="4" name="Avg Profit Margin" dataDxfId="168">
      <calculatedColumnFormula>AVERAGEIFS('Cleaned Data'!N:N,'Cleaned Data'!G:G,Table3[[#This Row],[Region]])</calculatedColumnFormula>
    </tableColumn>
  </tableColumns>
  <tableStyleInfo name="TableStyleMedium9" showFirstColumn="0" showLastColumn="0" showRowStripes="1" showColumnStripes="0"/>
</table>
</file>

<file path=xl/tables/table4.xml><?xml version="1.0" encoding="utf-8"?>
<table xmlns="http://schemas.openxmlformats.org/spreadsheetml/2006/main" id="6" name="Table6" displayName="Table6" ref="K4:M14" totalsRowShown="0" headerRowDxfId="167" headerRowBorderDxfId="166" tableBorderDxfId="165" totalsRowBorderDxfId="164">
  <autoFilter ref="K4:M14"/>
  <sortState ref="K5:M14">
    <sortCondition ref="K4:K14"/>
  </sortState>
  <tableColumns count="3">
    <tableColumn id="1" name="Salesperson" dataDxfId="163"/>
    <tableColumn id="2" name="Total Profit" dataDxfId="162">
      <calculatedColumnFormula>SUMIFS('Cleaned Data'!Q:Q,'Cleaned Data'!F:F,Table6[[#This Row],[Salesperson]])</calculatedColumnFormula>
    </tableColumn>
    <tableColumn id="3" name="Rank" dataDxfId="161">
      <calculatedColumnFormula>RANK(Table6[[#This Row],[Total Profit]],Table6[Total Profit],0)</calculatedColumnFormula>
    </tableColumn>
  </tableColumns>
  <tableStyleInfo name="TableStyleMedium9" showFirstColumn="0" showLastColumn="0" showRowStripes="1" showColumnStripes="0"/>
</table>
</file>

<file path=xl/tables/table5.xml><?xml version="1.0" encoding="utf-8"?>
<table xmlns="http://schemas.openxmlformats.org/spreadsheetml/2006/main" id="8" name="Table8" displayName="Table8" ref="B29:O34" totalsRowShown="0" headerRowDxfId="160" headerRowBorderDxfId="159" tableBorderDxfId="158" totalsRowBorderDxfId="157">
  <autoFilter ref="B29:O34"/>
  <tableColumns count="14">
    <tableColumn id="1" name="Categories" dataDxfId="156"/>
    <tableColumn id="2" name="JAN" dataDxfId="155"/>
    <tableColumn id="3" name="Feb" dataDxfId="154">
      <calculatedColumnFormula>SUMIFS('Cleaned Data'!$M:$M,'Cleaned Data'!$H:$H,$B30,'Cleaned Data'!$C:$C,D$29)</calculatedColumnFormula>
    </tableColumn>
    <tableColumn id="4" name="MAR" dataDxfId="153"/>
    <tableColumn id="5" name="APR" dataDxfId="152">
      <calculatedColumnFormula>SUMIFS('Cleaned Data'!$M:$M,'Cleaned Data'!$H:$H,$B30,'Cleaned Data'!$C:$C,F$29)</calculatedColumnFormula>
    </tableColumn>
    <tableColumn id="6" name="MAY" dataDxfId="151">
      <calculatedColumnFormula>SUMIFS('Cleaned Data'!$M:$M,'Cleaned Data'!$H:$H,$B30,'Cleaned Data'!$C:$C,G$29)</calculatedColumnFormula>
    </tableColumn>
    <tableColumn id="7" name="JUN" dataDxfId="150">
      <calculatedColumnFormula>SUMIFS('Cleaned Data'!$M:$M,'Cleaned Data'!$H:$H,$B30,'Cleaned Data'!$C:$C,H$29)</calculatedColumnFormula>
    </tableColumn>
    <tableColumn id="8" name="JUL" dataDxfId="149">
      <calculatedColumnFormula>SUMIFS('Cleaned Data'!$M:$M,'Cleaned Data'!$H:$H,$B30,'Cleaned Data'!$C:$C,I$29)</calculatedColumnFormula>
    </tableColumn>
    <tableColumn id="9" name="AUG" dataDxfId="148">
      <calculatedColumnFormula>SUMIFS('Cleaned Data'!$M:$M,'Cleaned Data'!$H:$H,$B30,'Cleaned Data'!$C:$C,J$29)</calculatedColumnFormula>
    </tableColumn>
    <tableColumn id="10" name="SEP" dataDxfId="147">
      <calculatedColumnFormula>SUMIFS('Cleaned Data'!$M:$M,'Cleaned Data'!$H:$H,$B30,'Cleaned Data'!$C:$C,K$29)</calculatedColumnFormula>
    </tableColumn>
    <tableColumn id="11" name="OCT" dataDxfId="146">
      <calculatedColumnFormula>SUMIFS('Cleaned Data'!$M:$M,'Cleaned Data'!$H:$H,$B30,'Cleaned Data'!$C:$C,L$29)</calculatedColumnFormula>
    </tableColumn>
    <tableColumn id="12" name="NOV" dataDxfId="145">
      <calculatedColumnFormula>SUMIFS('Cleaned Data'!$M:$M,'Cleaned Data'!$H:$H,$B30,'Cleaned Data'!$C:$C,M$29)</calculatedColumnFormula>
    </tableColumn>
    <tableColumn id="13" name="DEC" dataDxfId="144">
      <calculatedColumnFormula>SUMIFS('Cleaned Data'!$M:$M,'Cleaned Data'!$H:$H,$B30,'Cleaned Data'!$C:$C,N$29)</calculatedColumnFormula>
    </tableColumn>
    <tableColumn id="14" name="REVENUE" dataDxfId="143">
      <calculatedColumnFormula>SUM(Table8[[#This Row],[JAN]:[DEC]])</calculatedColumnFormula>
    </tableColumn>
  </tableColumns>
  <tableStyleInfo name="TableStyleMedium9" showFirstColumn="0" showLastColumn="0" showRowStripes="1" showColumnStripes="0"/>
</table>
</file>

<file path=xl/tables/table6.xml><?xml version="1.0" encoding="utf-8"?>
<table xmlns="http://schemas.openxmlformats.org/spreadsheetml/2006/main" id="7" name="Table7" displayName="Table7" ref="K25:M26" totalsRowShown="0" headerRowDxfId="142" dataDxfId="140" headerRowBorderDxfId="141" tableBorderDxfId="139" totalsRowBorderDxfId="138">
  <autoFilter ref="K25:M26"/>
  <tableColumns count="3">
    <tableColumn id="1" name="Assumption" dataDxfId="137"/>
    <tableColumn id="2" name="Value" dataDxfId="136"/>
    <tableColumn id="3" name="Additional Profit" dataDxfId="135">
      <calculatedColumnFormula>SUM(Table1[Total Revenue (PKR)])*Table7[Value]</calculatedColumnFormula>
    </tableColumn>
  </tableColumns>
  <tableStyleInfo name="TableStyleMedium9" showFirstColumn="0" showLastColumn="0" showRowStripes="1" showColumnStripes="0"/>
</table>
</file>

<file path=xl/tables/table7.xml><?xml version="1.0" encoding="utf-8"?>
<table xmlns="http://schemas.openxmlformats.org/spreadsheetml/2006/main" id="5" name="Table5" displayName="Table5" ref="K18:M20" totalsRowShown="0" headerRowDxfId="134" headerRowBorderDxfId="133" tableBorderDxfId="132" totalsRowBorderDxfId="131">
  <autoFilter ref="K18:M20"/>
  <tableColumns count="3">
    <tableColumn id="1" name="Customer Type" dataDxfId="130"/>
    <tableColumn id="2" name="Total Revenue" dataDxfId="129">
      <calculatedColumnFormula>SUMIFS('Cleaned Data'!M:M,'Cleaned Data'!R:R,Table5[[#This Row],[Customer Type]])</calculatedColumnFormula>
    </tableColumn>
    <tableColumn id="3" name="Avg Order Value" dataDxfId="128">
      <calculatedColumnFormula>AVERAGEIFS('Cleaned Data'!M:M,'Cleaned Data'!R:R,Table5[[#This Row],[Customer Type]])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1"/>
  <sheetViews>
    <sheetView showGridLines="0" showRowColHeaders="0" workbookViewId="0">
      <pane ySplit="1" topLeftCell="A2" activePane="bottomLeft" state="frozen"/>
      <selection pane="bottomLeft"/>
    </sheetView>
  </sheetViews>
  <sheetFormatPr defaultRowHeight="15" x14ac:dyDescent="0.25"/>
  <cols>
    <col min="1" max="2" width="12" customWidth="1"/>
    <col min="3" max="3" width="18" customWidth="1"/>
    <col min="4" max="4" width="12" customWidth="1"/>
    <col min="5" max="5" width="15" customWidth="1"/>
    <col min="6" max="6" width="18" customWidth="1"/>
    <col min="7" max="7" width="10" customWidth="1"/>
    <col min="8" max="8" width="16" customWidth="1"/>
    <col min="9" max="9" width="10" customWidth="1"/>
    <col min="10" max="10" width="18" customWidth="1"/>
    <col min="11" max="12" width="16" customWidth="1"/>
    <col min="13" max="16" width="14" customWidth="1"/>
  </cols>
  <sheetData>
    <row r="1" spans="1:16" ht="35.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v>8</v>
      </c>
      <c r="H2" s="2">
        <v>3500</v>
      </c>
      <c r="I2" s="2">
        <v>5</v>
      </c>
      <c r="J2" s="2">
        <v>26600</v>
      </c>
      <c r="K2" s="2">
        <v>2000</v>
      </c>
      <c r="L2" s="2">
        <v>16000</v>
      </c>
      <c r="M2" s="2">
        <v>10600</v>
      </c>
      <c r="N2" s="2" t="s">
        <v>22</v>
      </c>
      <c r="O2" s="2" t="s">
        <v>23</v>
      </c>
      <c r="P2" s="2" t="s">
        <v>24</v>
      </c>
    </row>
    <row r="3" spans="1:16" x14ac:dyDescent="0.25">
      <c r="A3" s="3" t="s">
        <v>25</v>
      </c>
      <c r="B3" s="3" t="s">
        <v>26</v>
      </c>
      <c r="C3" s="3" t="s">
        <v>18</v>
      </c>
      <c r="D3" s="3" t="s">
        <v>27</v>
      </c>
      <c r="E3" s="3" t="s">
        <v>28</v>
      </c>
      <c r="F3" s="3" t="s">
        <v>29</v>
      </c>
      <c r="G3" s="3">
        <v>3</v>
      </c>
      <c r="H3" s="3">
        <v>25000</v>
      </c>
      <c r="I3" s="3">
        <v>5</v>
      </c>
      <c r="J3" s="3">
        <v>71250</v>
      </c>
      <c r="K3" s="3">
        <v>18000</v>
      </c>
      <c r="L3" s="3">
        <v>54000</v>
      </c>
      <c r="M3" s="3">
        <v>17250</v>
      </c>
      <c r="N3" s="3" t="s">
        <v>22</v>
      </c>
      <c r="O3" s="3" t="s">
        <v>30</v>
      </c>
      <c r="P3" s="3" t="s">
        <v>24</v>
      </c>
    </row>
    <row r="4" spans="1:16" x14ac:dyDescent="0.25">
      <c r="A4" s="2" t="s">
        <v>31</v>
      </c>
      <c r="B4" s="2" t="s">
        <v>32</v>
      </c>
      <c r="C4" s="2" t="s">
        <v>33</v>
      </c>
      <c r="D4" s="2" t="s">
        <v>27</v>
      </c>
      <c r="E4" s="2" t="s">
        <v>34</v>
      </c>
      <c r="F4" s="2" t="s">
        <v>35</v>
      </c>
      <c r="G4" s="2">
        <v>19</v>
      </c>
      <c r="H4" s="2">
        <v>6000</v>
      </c>
      <c r="I4" s="2">
        <v>10</v>
      </c>
      <c r="J4" s="2">
        <v>102600</v>
      </c>
      <c r="K4" s="2">
        <v>3500</v>
      </c>
      <c r="L4" s="2">
        <v>66500</v>
      </c>
      <c r="M4" s="2">
        <v>36100</v>
      </c>
      <c r="N4" s="2" t="s">
        <v>22</v>
      </c>
      <c r="O4" s="2" t="s">
        <v>36</v>
      </c>
      <c r="P4" s="2" t="s">
        <v>24</v>
      </c>
    </row>
    <row r="5" spans="1:16" x14ac:dyDescent="0.25">
      <c r="A5" s="3" t="s">
        <v>37</v>
      </c>
      <c r="B5" s="3" t="s">
        <v>38</v>
      </c>
      <c r="C5" s="3" t="s">
        <v>39</v>
      </c>
      <c r="D5" s="3" t="s">
        <v>40</v>
      </c>
      <c r="E5" s="3" t="s">
        <v>34</v>
      </c>
      <c r="F5" s="3" t="s">
        <v>41</v>
      </c>
      <c r="G5" s="3">
        <v>4</v>
      </c>
      <c r="H5" s="3">
        <v>3000</v>
      </c>
      <c r="I5" s="3">
        <v>0</v>
      </c>
      <c r="J5" s="3">
        <v>12000</v>
      </c>
      <c r="K5" s="3">
        <v>1500</v>
      </c>
      <c r="L5" s="3">
        <v>6000</v>
      </c>
      <c r="M5" s="3">
        <v>6000</v>
      </c>
      <c r="N5" s="3" t="s">
        <v>42</v>
      </c>
      <c r="O5" s="3" t="s">
        <v>43</v>
      </c>
      <c r="P5" s="3" t="s">
        <v>44</v>
      </c>
    </row>
    <row r="6" spans="1:16" x14ac:dyDescent="0.25">
      <c r="A6" s="2" t="s">
        <v>45</v>
      </c>
      <c r="B6" s="2" t="s">
        <v>46</v>
      </c>
      <c r="C6" s="2" t="s">
        <v>47</v>
      </c>
      <c r="D6" s="2" t="s">
        <v>48</v>
      </c>
      <c r="E6" s="2" t="s">
        <v>28</v>
      </c>
      <c r="F6" s="2" t="s">
        <v>49</v>
      </c>
      <c r="G6" s="2">
        <v>18</v>
      </c>
      <c r="H6" s="2">
        <v>5000</v>
      </c>
      <c r="I6" s="2">
        <v>0</v>
      </c>
      <c r="J6" s="2">
        <v>90000</v>
      </c>
      <c r="K6" s="2">
        <v>3000</v>
      </c>
      <c r="L6" s="2">
        <v>54000</v>
      </c>
      <c r="M6" s="2">
        <v>36000</v>
      </c>
      <c r="N6" s="2" t="s">
        <v>42</v>
      </c>
      <c r="O6" s="2" t="s">
        <v>43</v>
      </c>
      <c r="P6" s="2" t="s">
        <v>44</v>
      </c>
    </row>
    <row r="7" spans="1:16" x14ac:dyDescent="0.25">
      <c r="A7" s="3" t="s">
        <v>50</v>
      </c>
      <c r="B7" s="3" t="s">
        <v>51</v>
      </c>
      <c r="C7" s="3" t="s">
        <v>47</v>
      </c>
      <c r="D7" s="3" t="s">
        <v>52</v>
      </c>
      <c r="E7" s="3" t="s">
        <v>53</v>
      </c>
      <c r="F7" s="3" t="s">
        <v>54</v>
      </c>
      <c r="G7" s="3">
        <v>3</v>
      </c>
      <c r="H7" s="3">
        <v>2000</v>
      </c>
      <c r="I7" s="3">
        <v>0</v>
      </c>
      <c r="J7" s="3">
        <v>6000</v>
      </c>
      <c r="K7" s="3">
        <v>1200</v>
      </c>
      <c r="L7" s="3">
        <v>3600</v>
      </c>
      <c r="M7" s="3">
        <v>2400</v>
      </c>
      <c r="N7" s="3" t="s">
        <v>22</v>
      </c>
      <c r="O7" s="3" t="s">
        <v>55</v>
      </c>
      <c r="P7" s="3" t="s">
        <v>56</v>
      </c>
    </row>
    <row r="8" spans="1:16" x14ac:dyDescent="0.25">
      <c r="A8" s="2" t="s">
        <v>57</v>
      </c>
      <c r="B8" s="2" t="s">
        <v>58</v>
      </c>
      <c r="C8" s="2" t="s">
        <v>18</v>
      </c>
      <c r="D8" s="2" t="s">
        <v>27</v>
      </c>
      <c r="E8" s="2" t="s">
        <v>20</v>
      </c>
      <c r="F8" s="2" t="s">
        <v>59</v>
      </c>
      <c r="G8" s="2">
        <v>12</v>
      </c>
      <c r="H8" s="2">
        <v>12000</v>
      </c>
      <c r="I8" s="2">
        <v>5</v>
      </c>
      <c r="J8" s="2">
        <v>136800</v>
      </c>
      <c r="K8" s="2">
        <v>8000</v>
      </c>
      <c r="L8" s="2">
        <v>96000</v>
      </c>
      <c r="M8" s="2">
        <v>40800</v>
      </c>
      <c r="N8" s="2" t="s">
        <v>42</v>
      </c>
      <c r="O8" s="2" t="s">
        <v>55</v>
      </c>
      <c r="P8" s="2" t="s">
        <v>44</v>
      </c>
    </row>
    <row r="9" spans="1:16" x14ac:dyDescent="0.25">
      <c r="A9" s="3" t="s">
        <v>60</v>
      </c>
      <c r="B9" s="3" t="s">
        <v>61</v>
      </c>
      <c r="C9" s="3" t="s">
        <v>18</v>
      </c>
      <c r="D9" s="3" t="s">
        <v>40</v>
      </c>
      <c r="E9" s="3" t="s">
        <v>53</v>
      </c>
      <c r="F9" s="3" t="s">
        <v>54</v>
      </c>
      <c r="G9" s="3">
        <v>6</v>
      </c>
      <c r="H9" s="3">
        <v>2000</v>
      </c>
      <c r="I9" s="3">
        <v>15</v>
      </c>
      <c r="J9" s="3">
        <v>10200</v>
      </c>
      <c r="K9" s="3">
        <v>1200</v>
      </c>
      <c r="L9" s="3">
        <v>7200</v>
      </c>
      <c r="M9" s="3">
        <v>3000</v>
      </c>
      <c r="N9" s="3" t="s">
        <v>42</v>
      </c>
      <c r="O9" s="3" t="s">
        <v>55</v>
      </c>
      <c r="P9" s="3" t="s">
        <v>56</v>
      </c>
    </row>
    <row r="10" spans="1:16" x14ac:dyDescent="0.25">
      <c r="A10" s="2" t="s">
        <v>62</v>
      </c>
      <c r="B10" s="2" t="s">
        <v>17</v>
      </c>
      <c r="C10" s="2" t="s">
        <v>63</v>
      </c>
      <c r="D10" s="2" t="s">
        <v>64</v>
      </c>
      <c r="E10" s="2" t="s">
        <v>20</v>
      </c>
      <c r="F10" s="2" t="s">
        <v>65</v>
      </c>
      <c r="G10" s="2">
        <v>8</v>
      </c>
      <c r="H10" s="2">
        <v>18000</v>
      </c>
      <c r="I10" s="2">
        <v>0</v>
      </c>
      <c r="J10" s="2">
        <v>144000</v>
      </c>
      <c r="K10" s="2">
        <v>12000</v>
      </c>
      <c r="L10" s="2">
        <v>96000</v>
      </c>
      <c r="M10" s="2">
        <v>48000</v>
      </c>
      <c r="N10" s="2" t="s">
        <v>42</v>
      </c>
      <c r="O10" s="2" t="s">
        <v>66</v>
      </c>
      <c r="P10" s="2" t="s">
        <v>44</v>
      </c>
    </row>
    <row r="11" spans="1:16" x14ac:dyDescent="0.25">
      <c r="A11" s="3" t="s">
        <v>67</v>
      </c>
      <c r="B11" s="3" t="s">
        <v>68</v>
      </c>
      <c r="C11" s="3" t="s">
        <v>47</v>
      </c>
      <c r="D11" s="3" t="s">
        <v>52</v>
      </c>
      <c r="E11" s="3" t="s">
        <v>34</v>
      </c>
      <c r="F11" s="3" t="s">
        <v>35</v>
      </c>
      <c r="G11" s="3">
        <v>13</v>
      </c>
      <c r="H11" s="3">
        <v>6000</v>
      </c>
      <c r="I11" s="3">
        <v>25</v>
      </c>
      <c r="J11" s="3">
        <v>58500</v>
      </c>
      <c r="K11" s="3">
        <v>3500</v>
      </c>
      <c r="L11" s="3">
        <v>45500</v>
      </c>
      <c r="M11" s="3">
        <v>13000</v>
      </c>
      <c r="N11" s="3" t="s">
        <v>42</v>
      </c>
      <c r="O11" s="3" t="s">
        <v>36</v>
      </c>
      <c r="P11" s="3" t="s">
        <v>44</v>
      </c>
    </row>
    <row r="12" spans="1:16" x14ac:dyDescent="0.25">
      <c r="A12" s="2" t="s">
        <v>69</v>
      </c>
      <c r="B12" s="2" t="s">
        <v>70</v>
      </c>
      <c r="C12" s="2" t="s">
        <v>63</v>
      </c>
      <c r="D12" s="2" t="s">
        <v>48</v>
      </c>
      <c r="E12" s="2" t="s">
        <v>53</v>
      </c>
      <c r="F12" s="2" t="s">
        <v>71</v>
      </c>
      <c r="G12" s="2">
        <v>19</v>
      </c>
      <c r="H12" s="2">
        <v>8000</v>
      </c>
      <c r="I12" s="2">
        <v>15</v>
      </c>
      <c r="J12" s="2">
        <v>129200</v>
      </c>
      <c r="K12" s="2">
        <v>5000</v>
      </c>
      <c r="L12" s="2">
        <v>95000</v>
      </c>
      <c r="M12" s="2">
        <v>34200</v>
      </c>
      <c r="N12" s="2" t="s">
        <v>42</v>
      </c>
      <c r="O12" s="2" t="s">
        <v>36</v>
      </c>
      <c r="P12" s="2" t="s">
        <v>56</v>
      </c>
    </row>
    <row r="13" spans="1:16" x14ac:dyDescent="0.25">
      <c r="A13" s="3" t="s">
        <v>72</v>
      </c>
      <c r="B13" s="3" t="s">
        <v>73</v>
      </c>
      <c r="C13" s="3" t="s">
        <v>63</v>
      </c>
      <c r="D13" s="3" t="s">
        <v>74</v>
      </c>
      <c r="E13" s="3" t="s">
        <v>28</v>
      </c>
      <c r="F13" s="3" t="s">
        <v>29</v>
      </c>
      <c r="G13" s="3">
        <v>4</v>
      </c>
      <c r="H13" s="3">
        <v>25000</v>
      </c>
      <c r="I13" s="3">
        <v>5</v>
      </c>
      <c r="J13" s="3">
        <v>95000</v>
      </c>
      <c r="K13" s="3">
        <v>18000</v>
      </c>
      <c r="L13" s="3">
        <v>72000</v>
      </c>
      <c r="M13" s="3">
        <v>23000</v>
      </c>
      <c r="N13" s="3" t="s">
        <v>22</v>
      </c>
      <c r="O13" s="3" t="s">
        <v>23</v>
      </c>
      <c r="P13" s="3" t="s">
        <v>44</v>
      </c>
    </row>
    <row r="14" spans="1:16" x14ac:dyDescent="0.25">
      <c r="A14" s="2" t="s">
        <v>75</v>
      </c>
      <c r="B14" s="2" t="s">
        <v>76</v>
      </c>
      <c r="C14" s="2" t="s">
        <v>77</v>
      </c>
      <c r="D14" s="2" t="s">
        <v>27</v>
      </c>
      <c r="E14" s="2" t="s">
        <v>53</v>
      </c>
      <c r="F14" s="2" t="s">
        <v>71</v>
      </c>
      <c r="G14" s="2">
        <v>17</v>
      </c>
      <c r="H14" s="2">
        <v>8000</v>
      </c>
      <c r="I14" s="2">
        <v>10</v>
      </c>
      <c r="J14" s="2">
        <v>122400</v>
      </c>
      <c r="K14" s="2">
        <v>5000</v>
      </c>
      <c r="L14" s="2">
        <v>85000</v>
      </c>
      <c r="M14" s="2">
        <v>37400</v>
      </c>
      <c r="N14" s="2" t="s">
        <v>22</v>
      </c>
      <c r="O14" s="2" t="s">
        <v>23</v>
      </c>
      <c r="P14" s="2" t="s">
        <v>24</v>
      </c>
    </row>
    <row r="15" spans="1:16" x14ac:dyDescent="0.25">
      <c r="A15" s="3" t="s">
        <v>78</v>
      </c>
      <c r="B15" s="3" t="s">
        <v>79</v>
      </c>
      <c r="C15" s="3" t="s">
        <v>63</v>
      </c>
      <c r="D15" s="3" t="s">
        <v>48</v>
      </c>
      <c r="E15" s="3" t="s">
        <v>20</v>
      </c>
      <c r="F15" s="3" t="s">
        <v>65</v>
      </c>
      <c r="G15" s="3">
        <v>10</v>
      </c>
      <c r="H15" s="3">
        <v>18000</v>
      </c>
      <c r="I15" s="3">
        <v>15</v>
      </c>
      <c r="J15" s="3">
        <v>153000</v>
      </c>
      <c r="K15" s="3">
        <v>12000</v>
      </c>
      <c r="L15" s="3">
        <v>120000</v>
      </c>
      <c r="M15" s="3">
        <v>33000</v>
      </c>
      <c r="N15" s="3" t="s">
        <v>22</v>
      </c>
      <c r="O15" s="3" t="s">
        <v>66</v>
      </c>
      <c r="P15" s="3" t="s">
        <v>44</v>
      </c>
    </row>
    <row r="16" spans="1:16" x14ac:dyDescent="0.25">
      <c r="A16" s="2" t="s">
        <v>80</v>
      </c>
      <c r="B16" s="2" t="s">
        <v>81</v>
      </c>
      <c r="C16" s="2" t="s">
        <v>63</v>
      </c>
      <c r="D16" s="2" t="s">
        <v>40</v>
      </c>
      <c r="E16" s="2" t="s">
        <v>53</v>
      </c>
      <c r="F16" s="2" t="s">
        <v>82</v>
      </c>
      <c r="G16" s="2">
        <v>10</v>
      </c>
      <c r="H16" s="2">
        <v>4000</v>
      </c>
      <c r="I16" s="2">
        <v>25</v>
      </c>
      <c r="J16" s="2">
        <v>30000</v>
      </c>
      <c r="K16" s="2">
        <v>2500</v>
      </c>
      <c r="L16" s="2">
        <v>25000</v>
      </c>
      <c r="M16" s="2">
        <v>5000</v>
      </c>
      <c r="N16" s="2" t="s">
        <v>22</v>
      </c>
      <c r="O16" s="2" t="s">
        <v>36</v>
      </c>
      <c r="P16" s="2" t="s">
        <v>44</v>
      </c>
    </row>
    <row r="17" spans="1:16" x14ac:dyDescent="0.25">
      <c r="A17" s="3" t="s">
        <v>83</v>
      </c>
      <c r="B17" s="3" t="s">
        <v>84</v>
      </c>
      <c r="C17" s="3" t="s">
        <v>63</v>
      </c>
      <c r="D17" s="3" t="s">
        <v>19</v>
      </c>
      <c r="E17" s="3" t="s">
        <v>53</v>
      </c>
      <c r="F17" s="3" t="s">
        <v>85</v>
      </c>
      <c r="G17" s="3">
        <v>16</v>
      </c>
      <c r="H17" s="3">
        <v>1500</v>
      </c>
      <c r="I17" s="3">
        <v>0</v>
      </c>
      <c r="J17" s="3">
        <v>24000</v>
      </c>
      <c r="K17" s="3">
        <v>800</v>
      </c>
      <c r="L17" s="3">
        <v>12800</v>
      </c>
      <c r="M17" s="3">
        <v>11200</v>
      </c>
      <c r="N17" s="3" t="s">
        <v>22</v>
      </c>
      <c r="O17" s="3" t="s">
        <v>55</v>
      </c>
      <c r="P17" s="3" t="s">
        <v>86</v>
      </c>
    </row>
    <row r="18" spans="1:16" x14ac:dyDescent="0.25">
      <c r="A18" s="2" t="s">
        <v>87</v>
      </c>
      <c r="B18" s="2" t="s">
        <v>88</v>
      </c>
      <c r="C18" s="2" t="s">
        <v>33</v>
      </c>
      <c r="D18" s="2" t="s">
        <v>19</v>
      </c>
      <c r="E18" s="2" t="s">
        <v>34</v>
      </c>
      <c r="F18" s="2" t="s">
        <v>89</v>
      </c>
      <c r="G18" s="2">
        <v>3</v>
      </c>
      <c r="H18" s="2">
        <v>4500</v>
      </c>
      <c r="I18" s="2">
        <v>0</v>
      </c>
      <c r="J18" s="2">
        <v>13500</v>
      </c>
      <c r="K18" s="2">
        <v>2500</v>
      </c>
      <c r="L18" s="2">
        <v>7500</v>
      </c>
      <c r="M18" s="2">
        <v>6000</v>
      </c>
      <c r="N18" s="2" t="s">
        <v>42</v>
      </c>
      <c r="O18" s="2" t="s">
        <v>43</v>
      </c>
      <c r="P18" s="2" t="s">
        <v>56</v>
      </c>
    </row>
    <row r="19" spans="1:16" x14ac:dyDescent="0.25">
      <c r="A19" s="3" t="s">
        <v>90</v>
      </c>
      <c r="B19" s="3" t="s">
        <v>91</v>
      </c>
      <c r="C19" s="3" t="s">
        <v>92</v>
      </c>
      <c r="D19" s="3" t="s">
        <v>40</v>
      </c>
      <c r="E19" s="3" t="s">
        <v>93</v>
      </c>
      <c r="F19" s="3" t="s">
        <v>94</v>
      </c>
      <c r="G19" s="3">
        <v>6</v>
      </c>
      <c r="H19" s="3">
        <v>1200</v>
      </c>
      <c r="I19" s="3">
        <v>10</v>
      </c>
      <c r="J19" s="3">
        <v>6480</v>
      </c>
      <c r="K19" s="3">
        <v>900</v>
      </c>
      <c r="L19" s="3">
        <v>5400</v>
      </c>
      <c r="M19" s="3">
        <v>1080</v>
      </c>
      <c r="N19" s="3" t="s">
        <v>42</v>
      </c>
      <c r="O19" s="3" t="s">
        <v>36</v>
      </c>
      <c r="P19" s="3" t="s">
        <v>95</v>
      </c>
    </row>
    <row r="20" spans="1:16" x14ac:dyDescent="0.25">
      <c r="A20" s="2" t="s">
        <v>96</v>
      </c>
      <c r="B20" s="2" t="s">
        <v>97</v>
      </c>
      <c r="C20" s="2" t="s">
        <v>33</v>
      </c>
      <c r="D20" s="2" t="s">
        <v>48</v>
      </c>
      <c r="E20" s="2" t="s">
        <v>93</v>
      </c>
      <c r="F20" s="2" t="s">
        <v>98</v>
      </c>
      <c r="G20" s="2">
        <v>15</v>
      </c>
      <c r="H20" s="2">
        <v>400</v>
      </c>
      <c r="I20" s="2">
        <v>20</v>
      </c>
      <c r="J20" s="2">
        <v>4800</v>
      </c>
      <c r="K20" s="2">
        <v>280</v>
      </c>
      <c r="L20" s="2">
        <v>4200</v>
      </c>
      <c r="M20" s="2">
        <v>600</v>
      </c>
      <c r="N20" s="2" t="s">
        <v>42</v>
      </c>
      <c r="O20" s="2" t="s">
        <v>43</v>
      </c>
      <c r="P20" s="2" t="s">
        <v>44</v>
      </c>
    </row>
    <row r="21" spans="1:16" x14ac:dyDescent="0.25">
      <c r="A21" s="3" t="s">
        <v>99</v>
      </c>
      <c r="B21" s="3" t="s">
        <v>76</v>
      </c>
      <c r="C21" s="3" t="s">
        <v>100</v>
      </c>
      <c r="D21" s="3" t="s">
        <v>19</v>
      </c>
      <c r="E21" s="3" t="s">
        <v>53</v>
      </c>
      <c r="F21" s="3" t="s">
        <v>101</v>
      </c>
      <c r="G21" s="3">
        <v>8</v>
      </c>
      <c r="H21" s="3">
        <v>1200</v>
      </c>
      <c r="I21" s="3">
        <v>20</v>
      </c>
      <c r="J21" s="3">
        <v>7680</v>
      </c>
      <c r="K21" s="3">
        <v>700</v>
      </c>
      <c r="L21" s="3">
        <v>5600</v>
      </c>
      <c r="M21" s="3">
        <v>2080</v>
      </c>
      <c r="N21" s="3" t="s">
        <v>22</v>
      </c>
      <c r="O21" s="3" t="s">
        <v>43</v>
      </c>
      <c r="P21" s="3" t="s">
        <v>44</v>
      </c>
    </row>
    <row r="22" spans="1:16" x14ac:dyDescent="0.25">
      <c r="A22" s="2" t="s">
        <v>102</v>
      </c>
      <c r="B22" s="2" t="s">
        <v>103</v>
      </c>
      <c r="C22" s="2" t="s">
        <v>104</v>
      </c>
      <c r="D22" s="2" t="s">
        <v>64</v>
      </c>
      <c r="E22" s="2" t="s">
        <v>28</v>
      </c>
      <c r="F22" s="2" t="s">
        <v>29</v>
      </c>
      <c r="G22" s="2">
        <v>11</v>
      </c>
      <c r="H22" s="2">
        <v>25000</v>
      </c>
      <c r="I22" s="2">
        <v>0</v>
      </c>
      <c r="J22" s="2">
        <v>275000</v>
      </c>
      <c r="K22" s="2">
        <v>18000</v>
      </c>
      <c r="L22" s="2">
        <v>198000</v>
      </c>
      <c r="M22" s="2">
        <v>77000</v>
      </c>
      <c r="N22" s="2" t="s">
        <v>22</v>
      </c>
      <c r="O22" s="2" t="s">
        <v>55</v>
      </c>
      <c r="P22" s="2" t="s">
        <v>24</v>
      </c>
    </row>
    <row r="23" spans="1:16" x14ac:dyDescent="0.25">
      <c r="A23" s="3" t="s">
        <v>105</v>
      </c>
      <c r="B23" s="3" t="s">
        <v>106</v>
      </c>
      <c r="C23" s="3" t="s">
        <v>63</v>
      </c>
      <c r="D23" s="3" t="s">
        <v>40</v>
      </c>
      <c r="E23" s="3" t="s">
        <v>53</v>
      </c>
      <c r="F23" s="3" t="s">
        <v>101</v>
      </c>
      <c r="G23" s="3">
        <v>16</v>
      </c>
      <c r="H23" s="3">
        <v>1200</v>
      </c>
      <c r="I23" s="3">
        <v>5</v>
      </c>
      <c r="J23" s="3">
        <v>18240</v>
      </c>
      <c r="K23" s="3">
        <v>700</v>
      </c>
      <c r="L23" s="3">
        <v>11200</v>
      </c>
      <c r="M23" s="3">
        <v>7040</v>
      </c>
      <c r="N23" s="3" t="s">
        <v>42</v>
      </c>
      <c r="O23" s="3" t="s">
        <v>66</v>
      </c>
      <c r="P23" s="3" t="s">
        <v>44</v>
      </c>
    </row>
    <row r="24" spans="1:16" x14ac:dyDescent="0.25">
      <c r="A24" s="2" t="s">
        <v>107</v>
      </c>
      <c r="B24" s="2" t="s">
        <v>108</v>
      </c>
      <c r="C24" s="2" t="s">
        <v>77</v>
      </c>
      <c r="D24" s="2" t="s">
        <v>52</v>
      </c>
      <c r="E24" s="2" t="s">
        <v>93</v>
      </c>
      <c r="F24" s="2" t="s">
        <v>109</v>
      </c>
      <c r="G24" s="2">
        <v>15</v>
      </c>
      <c r="H24" s="2">
        <v>700</v>
      </c>
      <c r="I24" s="2">
        <v>25</v>
      </c>
      <c r="J24" s="2">
        <v>7875</v>
      </c>
      <c r="K24" s="2">
        <v>500</v>
      </c>
      <c r="L24" s="2">
        <v>7500</v>
      </c>
      <c r="M24" s="2">
        <v>375</v>
      </c>
      <c r="N24" s="2" t="s">
        <v>22</v>
      </c>
      <c r="O24" s="2" t="s">
        <v>23</v>
      </c>
      <c r="P24" s="2" t="s">
        <v>24</v>
      </c>
    </row>
    <row r="25" spans="1:16" x14ac:dyDescent="0.25">
      <c r="A25" s="3" t="s">
        <v>110</v>
      </c>
      <c r="B25" s="3" t="s">
        <v>111</v>
      </c>
      <c r="C25" s="3" t="s">
        <v>18</v>
      </c>
      <c r="D25" s="3" t="s">
        <v>19</v>
      </c>
      <c r="E25" s="3" t="s">
        <v>93</v>
      </c>
      <c r="F25" s="3" t="s">
        <v>98</v>
      </c>
      <c r="G25" s="3">
        <v>4</v>
      </c>
      <c r="H25" s="3">
        <v>400</v>
      </c>
      <c r="I25" s="3">
        <v>5</v>
      </c>
      <c r="J25" s="3">
        <v>1520</v>
      </c>
      <c r="K25" s="3">
        <v>280</v>
      </c>
      <c r="L25" s="3">
        <v>1120</v>
      </c>
      <c r="M25" s="3">
        <v>400</v>
      </c>
      <c r="N25" s="3" t="s">
        <v>22</v>
      </c>
      <c r="O25" s="3" t="s">
        <v>36</v>
      </c>
      <c r="P25" s="3" t="s">
        <v>44</v>
      </c>
    </row>
    <row r="26" spans="1:16" x14ac:dyDescent="0.25">
      <c r="A26" s="2" t="s">
        <v>112</v>
      </c>
      <c r="B26" s="2" t="s">
        <v>113</v>
      </c>
      <c r="C26" s="2" t="s">
        <v>77</v>
      </c>
      <c r="D26" s="2" t="s">
        <v>40</v>
      </c>
      <c r="E26" s="2" t="s">
        <v>20</v>
      </c>
      <c r="F26" s="2" t="s">
        <v>59</v>
      </c>
      <c r="G26" s="2">
        <v>8</v>
      </c>
      <c r="H26" s="2">
        <v>12000</v>
      </c>
      <c r="I26" s="2">
        <v>0</v>
      </c>
      <c r="J26" s="2">
        <v>96000</v>
      </c>
      <c r="K26" s="2">
        <v>8000</v>
      </c>
      <c r="L26" s="2">
        <v>64000</v>
      </c>
      <c r="M26" s="2">
        <v>32000</v>
      </c>
      <c r="N26" s="2" t="s">
        <v>42</v>
      </c>
      <c r="O26" s="2" t="s">
        <v>30</v>
      </c>
      <c r="P26" s="2" t="s">
        <v>44</v>
      </c>
    </row>
    <row r="27" spans="1:16" x14ac:dyDescent="0.25">
      <c r="A27" s="3" t="s">
        <v>114</v>
      </c>
      <c r="B27" s="3" t="s">
        <v>115</v>
      </c>
      <c r="C27" s="3" t="s">
        <v>63</v>
      </c>
      <c r="D27" s="3" t="s">
        <v>19</v>
      </c>
      <c r="E27" s="3" t="s">
        <v>28</v>
      </c>
      <c r="F27" s="3" t="s">
        <v>116</v>
      </c>
      <c r="G27" s="3">
        <v>6</v>
      </c>
      <c r="H27" s="3">
        <v>85000</v>
      </c>
      <c r="I27" s="3">
        <v>15</v>
      </c>
      <c r="J27" s="3">
        <v>433500</v>
      </c>
      <c r="K27" s="3">
        <v>65000</v>
      </c>
      <c r="L27" s="3">
        <v>390000</v>
      </c>
      <c r="M27" s="3">
        <v>43500</v>
      </c>
      <c r="N27" s="3" t="s">
        <v>42</v>
      </c>
      <c r="O27" s="3" t="s">
        <v>66</v>
      </c>
      <c r="P27" s="3" t="s">
        <v>44</v>
      </c>
    </row>
    <row r="28" spans="1:16" x14ac:dyDescent="0.25">
      <c r="A28" s="2" t="s">
        <v>117</v>
      </c>
      <c r="B28" s="2" t="s">
        <v>118</v>
      </c>
      <c r="C28" s="2" t="s">
        <v>104</v>
      </c>
      <c r="D28" s="2" t="s">
        <v>40</v>
      </c>
      <c r="E28" s="2" t="s">
        <v>93</v>
      </c>
      <c r="F28" s="2" t="s">
        <v>119</v>
      </c>
      <c r="G28" s="2">
        <v>13</v>
      </c>
      <c r="H28" s="2">
        <v>800</v>
      </c>
      <c r="I28" s="2">
        <v>10</v>
      </c>
      <c r="J28" s="2">
        <v>9360</v>
      </c>
      <c r="K28" s="2">
        <v>600</v>
      </c>
      <c r="L28" s="2">
        <v>7800</v>
      </c>
      <c r="M28" s="2">
        <v>1560</v>
      </c>
      <c r="N28" s="2" t="s">
        <v>42</v>
      </c>
      <c r="O28" s="2" t="s">
        <v>55</v>
      </c>
      <c r="P28" s="2" t="s">
        <v>44</v>
      </c>
    </row>
    <row r="29" spans="1:16" x14ac:dyDescent="0.25">
      <c r="A29" s="3" t="s">
        <v>120</v>
      </c>
      <c r="B29" s="3" t="s">
        <v>121</v>
      </c>
      <c r="C29" s="3" t="s">
        <v>122</v>
      </c>
      <c r="D29" s="3" t="s">
        <v>40</v>
      </c>
      <c r="E29" s="3" t="s">
        <v>34</v>
      </c>
      <c r="F29" s="3" t="s">
        <v>41</v>
      </c>
      <c r="G29" s="3">
        <v>7</v>
      </c>
      <c r="H29" s="3">
        <v>3000</v>
      </c>
      <c r="I29" s="3">
        <v>0</v>
      </c>
      <c r="J29" s="3">
        <v>21000</v>
      </c>
      <c r="K29" s="3">
        <v>1500</v>
      </c>
      <c r="L29" s="3">
        <v>10500</v>
      </c>
      <c r="M29" s="3">
        <v>10500</v>
      </c>
      <c r="N29" s="3" t="s">
        <v>22</v>
      </c>
      <c r="O29" s="3" t="s">
        <v>23</v>
      </c>
      <c r="P29" s="3" t="s">
        <v>44</v>
      </c>
    </row>
    <row r="30" spans="1:16" x14ac:dyDescent="0.25">
      <c r="A30" s="2" t="s">
        <v>123</v>
      </c>
      <c r="B30" s="2" t="s">
        <v>124</v>
      </c>
      <c r="C30" s="2" t="s">
        <v>47</v>
      </c>
      <c r="D30" s="2" t="s">
        <v>74</v>
      </c>
      <c r="E30" s="2" t="s">
        <v>53</v>
      </c>
      <c r="F30" s="2" t="s">
        <v>101</v>
      </c>
      <c r="G30" s="2">
        <v>6</v>
      </c>
      <c r="H30" s="2">
        <v>1200</v>
      </c>
      <c r="I30" s="2">
        <v>0</v>
      </c>
      <c r="J30" s="2">
        <v>7200</v>
      </c>
      <c r="K30" s="2">
        <v>700</v>
      </c>
      <c r="L30" s="2">
        <v>4200</v>
      </c>
      <c r="M30" s="2">
        <v>3000</v>
      </c>
      <c r="N30" s="2" t="s">
        <v>22</v>
      </c>
      <c r="O30" s="2" t="s">
        <v>36</v>
      </c>
      <c r="P30" s="2" t="s">
        <v>44</v>
      </c>
    </row>
    <row r="31" spans="1:16" x14ac:dyDescent="0.25">
      <c r="A31" s="3" t="s">
        <v>125</v>
      </c>
      <c r="B31" s="3" t="s">
        <v>126</v>
      </c>
      <c r="C31" s="3" t="s">
        <v>33</v>
      </c>
      <c r="D31" s="3" t="s">
        <v>27</v>
      </c>
      <c r="E31" s="3" t="s">
        <v>28</v>
      </c>
      <c r="F31" s="3" t="s">
        <v>127</v>
      </c>
      <c r="G31" s="3">
        <v>8</v>
      </c>
      <c r="H31" s="3">
        <v>15000</v>
      </c>
      <c r="I31" s="3">
        <v>20</v>
      </c>
      <c r="J31" s="3">
        <v>96000</v>
      </c>
      <c r="K31" s="3">
        <v>10000</v>
      </c>
      <c r="L31" s="3">
        <v>80000</v>
      </c>
      <c r="M31" s="3">
        <v>16000</v>
      </c>
      <c r="N31" s="3" t="s">
        <v>22</v>
      </c>
      <c r="O31" s="3" t="s">
        <v>30</v>
      </c>
      <c r="P31" s="3" t="s">
        <v>44</v>
      </c>
    </row>
    <row r="32" spans="1:16" x14ac:dyDescent="0.25">
      <c r="A32" s="2" t="s">
        <v>128</v>
      </c>
      <c r="B32" s="2" t="s">
        <v>129</v>
      </c>
      <c r="C32" s="2" t="s">
        <v>47</v>
      </c>
      <c r="D32" s="2" t="s">
        <v>52</v>
      </c>
      <c r="E32" s="2" t="s">
        <v>20</v>
      </c>
      <c r="F32" s="2" t="s">
        <v>21</v>
      </c>
      <c r="G32" s="2">
        <v>11</v>
      </c>
      <c r="H32" s="2">
        <v>3500</v>
      </c>
      <c r="I32" s="2">
        <v>5</v>
      </c>
      <c r="J32" s="2">
        <v>36575</v>
      </c>
      <c r="K32" s="2">
        <v>2000</v>
      </c>
      <c r="L32" s="2">
        <v>22000</v>
      </c>
      <c r="M32" s="2">
        <v>14575</v>
      </c>
      <c r="N32" s="2" t="s">
        <v>42</v>
      </c>
      <c r="O32" s="2" t="s">
        <v>66</v>
      </c>
      <c r="P32" s="2" t="s">
        <v>44</v>
      </c>
    </row>
    <row r="33" spans="1:16" x14ac:dyDescent="0.25">
      <c r="A33" s="3" t="s">
        <v>130</v>
      </c>
      <c r="B33" s="3" t="s">
        <v>111</v>
      </c>
      <c r="C33" s="3" t="s">
        <v>39</v>
      </c>
      <c r="D33" s="3" t="s">
        <v>74</v>
      </c>
      <c r="E33" s="3" t="s">
        <v>20</v>
      </c>
      <c r="F33" s="3" t="s">
        <v>65</v>
      </c>
      <c r="G33" s="3">
        <v>1</v>
      </c>
      <c r="H33" s="3">
        <v>18000</v>
      </c>
      <c r="I33" s="3">
        <v>15</v>
      </c>
      <c r="J33" s="3">
        <v>15300</v>
      </c>
      <c r="K33" s="3">
        <v>12000</v>
      </c>
      <c r="L33" s="3">
        <v>12000</v>
      </c>
      <c r="M33" s="3">
        <v>3300</v>
      </c>
      <c r="N33" s="3" t="s">
        <v>22</v>
      </c>
      <c r="O33" s="3" t="s">
        <v>43</v>
      </c>
      <c r="P33" s="3" t="s">
        <v>44</v>
      </c>
    </row>
    <row r="34" spans="1:16" x14ac:dyDescent="0.25">
      <c r="A34" s="2" t="s">
        <v>131</v>
      </c>
      <c r="B34" s="2" t="s">
        <v>132</v>
      </c>
      <c r="C34" s="2" t="s">
        <v>39</v>
      </c>
      <c r="D34" s="2" t="s">
        <v>40</v>
      </c>
      <c r="E34" s="2" t="s">
        <v>20</v>
      </c>
      <c r="F34" s="2" t="s">
        <v>65</v>
      </c>
      <c r="G34" s="2">
        <v>8</v>
      </c>
      <c r="H34" s="2">
        <v>18000</v>
      </c>
      <c r="I34" s="2">
        <v>10</v>
      </c>
      <c r="J34" s="2">
        <v>129600</v>
      </c>
      <c r="K34" s="2">
        <v>12000</v>
      </c>
      <c r="L34" s="2">
        <v>96000</v>
      </c>
      <c r="M34" s="2">
        <v>33600</v>
      </c>
      <c r="N34" s="2" t="s">
        <v>42</v>
      </c>
      <c r="O34" s="2" t="s">
        <v>36</v>
      </c>
      <c r="P34" s="2" t="s">
        <v>44</v>
      </c>
    </row>
    <row r="35" spans="1:16" x14ac:dyDescent="0.25">
      <c r="A35" s="3" t="s">
        <v>133</v>
      </c>
      <c r="B35" s="3" t="s">
        <v>134</v>
      </c>
      <c r="C35" s="3" t="s">
        <v>39</v>
      </c>
      <c r="D35" s="3" t="s">
        <v>19</v>
      </c>
      <c r="E35" s="3" t="s">
        <v>53</v>
      </c>
      <c r="F35" s="3" t="s">
        <v>85</v>
      </c>
      <c r="G35" s="3">
        <v>4</v>
      </c>
      <c r="H35" s="3">
        <v>1500</v>
      </c>
      <c r="I35" s="3">
        <v>5</v>
      </c>
      <c r="J35" s="3">
        <v>5700</v>
      </c>
      <c r="K35" s="3">
        <v>800</v>
      </c>
      <c r="L35" s="3">
        <v>3200</v>
      </c>
      <c r="M35" s="3">
        <v>2500</v>
      </c>
      <c r="N35" s="3" t="s">
        <v>42</v>
      </c>
      <c r="O35" s="3" t="s">
        <v>43</v>
      </c>
      <c r="P35" s="3" t="s">
        <v>86</v>
      </c>
    </row>
    <row r="36" spans="1:16" x14ac:dyDescent="0.25">
      <c r="A36" s="2" t="s">
        <v>135</v>
      </c>
      <c r="B36" s="2" t="s">
        <v>136</v>
      </c>
      <c r="C36" s="2" t="s">
        <v>92</v>
      </c>
      <c r="D36" s="2" t="s">
        <v>48</v>
      </c>
      <c r="E36" s="2" t="s">
        <v>20</v>
      </c>
      <c r="F36" s="2" t="s">
        <v>137</v>
      </c>
      <c r="G36" s="2">
        <v>7</v>
      </c>
      <c r="H36" s="2">
        <v>15000</v>
      </c>
      <c r="I36" s="2">
        <v>25</v>
      </c>
      <c r="J36" s="2">
        <v>78750</v>
      </c>
      <c r="K36" s="2">
        <v>10000</v>
      </c>
      <c r="L36" s="2">
        <v>70000</v>
      </c>
      <c r="M36" s="2">
        <v>8750</v>
      </c>
      <c r="N36" s="2" t="s">
        <v>42</v>
      </c>
      <c r="O36" s="2" t="s">
        <v>36</v>
      </c>
      <c r="P36" s="2" t="s">
        <v>24</v>
      </c>
    </row>
    <row r="37" spans="1:16" x14ac:dyDescent="0.25">
      <c r="A37" s="3" t="s">
        <v>138</v>
      </c>
      <c r="B37" s="3" t="s">
        <v>139</v>
      </c>
      <c r="C37" s="3" t="s">
        <v>63</v>
      </c>
      <c r="D37" s="3" t="s">
        <v>74</v>
      </c>
      <c r="E37" s="3" t="s">
        <v>20</v>
      </c>
      <c r="F37" s="3" t="s">
        <v>65</v>
      </c>
      <c r="G37" s="3">
        <v>3</v>
      </c>
      <c r="H37" s="3">
        <v>18000</v>
      </c>
      <c r="I37" s="3">
        <v>25</v>
      </c>
      <c r="J37" s="3">
        <v>40500</v>
      </c>
      <c r="K37" s="3">
        <v>12000</v>
      </c>
      <c r="L37" s="3">
        <v>36000</v>
      </c>
      <c r="M37" s="3">
        <v>4500</v>
      </c>
      <c r="N37" s="3" t="s">
        <v>42</v>
      </c>
      <c r="O37" s="3" t="s">
        <v>55</v>
      </c>
      <c r="P37" s="3" t="s">
        <v>44</v>
      </c>
    </row>
    <row r="38" spans="1:16" x14ac:dyDescent="0.25">
      <c r="A38" s="2" t="s">
        <v>140</v>
      </c>
      <c r="B38" s="2" t="s">
        <v>141</v>
      </c>
      <c r="C38" s="2" t="s">
        <v>92</v>
      </c>
      <c r="D38" s="2" t="s">
        <v>48</v>
      </c>
      <c r="E38" s="2" t="s">
        <v>34</v>
      </c>
      <c r="F38" s="2" t="s">
        <v>35</v>
      </c>
      <c r="G38" s="2">
        <v>18</v>
      </c>
      <c r="H38" s="2">
        <v>6000</v>
      </c>
      <c r="I38" s="2">
        <v>25</v>
      </c>
      <c r="J38" s="2">
        <v>81000</v>
      </c>
      <c r="K38" s="2">
        <v>3500</v>
      </c>
      <c r="L38" s="2">
        <v>63000</v>
      </c>
      <c r="M38" s="2">
        <v>18000</v>
      </c>
      <c r="N38" s="2" t="s">
        <v>42</v>
      </c>
      <c r="O38" s="2" t="s">
        <v>30</v>
      </c>
      <c r="P38" s="2" t="s">
        <v>44</v>
      </c>
    </row>
    <row r="39" spans="1:16" x14ac:dyDescent="0.25">
      <c r="A39" s="3" t="s">
        <v>142</v>
      </c>
      <c r="B39" s="3" t="s">
        <v>143</v>
      </c>
      <c r="C39" s="3" t="s">
        <v>92</v>
      </c>
      <c r="D39" s="3" t="s">
        <v>19</v>
      </c>
      <c r="E39" s="3" t="s">
        <v>20</v>
      </c>
      <c r="F39" s="3" t="s">
        <v>137</v>
      </c>
      <c r="G39" s="3">
        <v>18</v>
      </c>
      <c r="H39" s="3">
        <v>15000</v>
      </c>
      <c r="I39" s="3">
        <v>5</v>
      </c>
      <c r="J39" s="3">
        <v>256500</v>
      </c>
      <c r="K39" s="3">
        <v>10000</v>
      </c>
      <c r="L39" s="3">
        <v>180000</v>
      </c>
      <c r="M39" s="3">
        <v>76500</v>
      </c>
      <c r="N39" s="3" t="s">
        <v>42</v>
      </c>
      <c r="O39" s="3" t="s">
        <v>36</v>
      </c>
      <c r="P39" s="3" t="s">
        <v>44</v>
      </c>
    </row>
    <row r="40" spans="1:16" x14ac:dyDescent="0.25">
      <c r="A40" s="2" t="s">
        <v>144</v>
      </c>
      <c r="B40" s="2" t="s">
        <v>145</v>
      </c>
      <c r="C40" s="2" t="s">
        <v>104</v>
      </c>
      <c r="D40" s="2" t="s">
        <v>52</v>
      </c>
      <c r="E40" s="2" t="s">
        <v>34</v>
      </c>
      <c r="F40" s="2" t="s">
        <v>146</v>
      </c>
      <c r="G40" s="2">
        <v>4</v>
      </c>
      <c r="H40" s="2">
        <v>3500</v>
      </c>
      <c r="I40" s="2">
        <v>10</v>
      </c>
      <c r="J40" s="2">
        <v>12600</v>
      </c>
      <c r="K40" s="2">
        <v>1800</v>
      </c>
      <c r="L40" s="2">
        <v>7200</v>
      </c>
      <c r="M40" s="2">
        <v>5400</v>
      </c>
      <c r="N40" s="2" t="s">
        <v>42</v>
      </c>
      <c r="O40" s="2" t="s">
        <v>30</v>
      </c>
      <c r="P40" s="2" t="s">
        <v>24</v>
      </c>
    </row>
    <row r="41" spans="1:16" x14ac:dyDescent="0.25">
      <c r="A41" s="3" t="s">
        <v>147</v>
      </c>
      <c r="B41" s="3" t="s">
        <v>148</v>
      </c>
      <c r="C41" s="3" t="s">
        <v>92</v>
      </c>
      <c r="D41" s="3" t="s">
        <v>40</v>
      </c>
      <c r="E41" s="3" t="s">
        <v>93</v>
      </c>
      <c r="F41" s="3" t="s">
        <v>119</v>
      </c>
      <c r="G41" s="3">
        <v>6</v>
      </c>
      <c r="H41" s="3">
        <v>800</v>
      </c>
      <c r="I41" s="3">
        <v>25</v>
      </c>
      <c r="J41" s="3">
        <v>3600</v>
      </c>
      <c r="K41" s="3">
        <v>600</v>
      </c>
      <c r="L41" s="3">
        <v>3600</v>
      </c>
      <c r="M41" s="3">
        <v>0</v>
      </c>
      <c r="N41" s="3" t="s">
        <v>42</v>
      </c>
      <c r="O41" s="3" t="s">
        <v>66</v>
      </c>
      <c r="P41" s="3" t="s">
        <v>86</v>
      </c>
    </row>
    <row r="42" spans="1:16" x14ac:dyDescent="0.25">
      <c r="A42" s="2" t="s">
        <v>149</v>
      </c>
      <c r="B42" s="2" t="s">
        <v>150</v>
      </c>
      <c r="C42" s="2" t="s">
        <v>39</v>
      </c>
      <c r="D42" s="2" t="s">
        <v>40</v>
      </c>
      <c r="E42" s="2" t="s">
        <v>28</v>
      </c>
      <c r="F42" s="2" t="s">
        <v>49</v>
      </c>
      <c r="G42" s="2">
        <v>2</v>
      </c>
      <c r="H42" s="2">
        <v>5000</v>
      </c>
      <c r="I42" s="2">
        <v>15</v>
      </c>
      <c r="J42" s="2">
        <v>8500</v>
      </c>
      <c r="K42" s="2">
        <v>3000</v>
      </c>
      <c r="L42" s="2">
        <v>6000</v>
      </c>
      <c r="M42" s="2">
        <v>2500</v>
      </c>
      <c r="N42" s="2" t="s">
        <v>22</v>
      </c>
      <c r="O42" s="2" t="s">
        <v>36</v>
      </c>
      <c r="P42" s="2" t="s">
        <v>86</v>
      </c>
    </row>
    <row r="43" spans="1:16" x14ac:dyDescent="0.25">
      <c r="A43" s="3" t="s">
        <v>151</v>
      </c>
      <c r="B43" s="3" t="s">
        <v>152</v>
      </c>
      <c r="C43" s="3" t="s">
        <v>100</v>
      </c>
      <c r="D43" s="3" t="s">
        <v>48</v>
      </c>
      <c r="E43" s="3" t="s">
        <v>34</v>
      </c>
      <c r="F43" s="3" t="s">
        <v>146</v>
      </c>
      <c r="G43" s="3">
        <v>1</v>
      </c>
      <c r="H43" s="3">
        <v>3500</v>
      </c>
      <c r="I43" s="3">
        <v>25</v>
      </c>
      <c r="J43" s="3">
        <v>2625</v>
      </c>
      <c r="K43" s="3">
        <v>1800</v>
      </c>
      <c r="L43" s="3">
        <v>1800</v>
      </c>
      <c r="M43" s="3">
        <v>825</v>
      </c>
      <c r="N43" s="3" t="s">
        <v>22</v>
      </c>
      <c r="O43" s="3" t="s">
        <v>66</v>
      </c>
      <c r="P43" s="3" t="s">
        <v>44</v>
      </c>
    </row>
    <row r="44" spans="1:16" x14ac:dyDescent="0.25">
      <c r="A44" s="2" t="s">
        <v>153</v>
      </c>
      <c r="B44" s="2" t="s">
        <v>154</v>
      </c>
      <c r="C44" s="2" t="s">
        <v>39</v>
      </c>
      <c r="D44" s="2" t="s">
        <v>52</v>
      </c>
      <c r="E44" s="2" t="s">
        <v>53</v>
      </c>
      <c r="F44" s="2" t="s">
        <v>71</v>
      </c>
      <c r="G44" s="2">
        <v>18</v>
      </c>
      <c r="H44" s="2">
        <v>8000</v>
      </c>
      <c r="I44" s="2">
        <v>10</v>
      </c>
      <c r="J44" s="2">
        <v>129600</v>
      </c>
      <c r="K44" s="2">
        <v>5000</v>
      </c>
      <c r="L44" s="2">
        <v>90000</v>
      </c>
      <c r="M44" s="2">
        <v>39600</v>
      </c>
      <c r="N44" s="2" t="s">
        <v>22</v>
      </c>
      <c r="O44" s="2" t="s">
        <v>43</v>
      </c>
      <c r="P44" s="2" t="s">
        <v>86</v>
      </c>
    </row>
    <row r="45" spans="1:16" x14ac:dyDescent="0.25">
      <c r="A45" s="3" t="s">
        <v>155</v>
      </c>
      <c r="B45" s="3" t="s">
        <v>156</v>
      </c>
      <c r="C45" s="3" t="s">
        <v>92</v>
      </c>
      <c r="D45" s="3" t="s">
        <v>48</v>
      </c>
      <c r="E45" s="3" t="s">
        <v>28</v>
      </c>
      <c r="F45" s="3" t="s">
        <v>29</v>
      </c>
      <c r="G45" s="3">
        <v>20</v>
      </c>
      <c r="H45" s="3">
        <v>25000</v>
      </c>
      <c r="I45" s="3">
        <v>15</v>
      </c>
      <c r="J45" s="3">
        <v>425000</v>
      </c>
      <c r="K45" s="3">
        <v>18000</v>
      </c>
      <c r="L45" s="3">
        <v>360000</v>
      </c>
      <c r="M45" s="3">
        <v>65000</v>
      </c>
      <c r="N45" s="3" t="s">
        <v>42</v>
      </c>
      <c r="O45" s="3" t="s">
        <v>23</v>
      </c>
      <c r="P45" s="3" t="s">
        <v>86</v>
      </c>
    </row>
    <row r="46" spans="1:16" x14ac:dyDescent="0.25">
      <c r="A46" s="2" t="s">
        <v>157</v>
      </c>
      <c r="B46" s="2" t="s">
        <v>158</v>
      </c>
      <c r="C46" s="2" t="s">
        <v>47</v>
      </c>
      <c r="D46" s="2" t="s">
        <v>159</v>
      </c>
      <c r="E46" s="2" t="s">
        <v>93</v>
      </c>
      <c r="F46" s="2" t="s">
        <v>94</v>
      </c>
      <c r="G46" s="2">
        <v>7</v>
      </c>
      <c r="H46" s="2">
        <v>1200</v>
      </c>
      <c r="I46" s="2">
        <v>10</v>
      </c>
      <c r="J46" s="2">
        <v>7560</v>
      </c>
      <c r="K46" s="2">
        <v>900</v>
      </c>
      <c r="L46" s="2">
        <v>6300</v>
      </c>
      <c r="M46" s="2">
        <v>1260</v>
      </c>
      <c r="N46" s="2" t="s">
        <v>22</v>
      </c>
      <c r="O46" s="2" t="s">
        <v>23</v>
      </c>
      <c r="P46" s="2" t="s">
        <v>44</v>
      </c>
    </row>
    <row r="47" spans="1:16" x14ac:dyDescent="0.25">
      <c r="A47" s="3" t="s">
        <v>160</v>
      </c>
      <c r="B47" s="3" t="s">
        <v>161</v>
      </c>
      <c r="C47" s="3" t="s">
        <v>63</v>
      </c>
      <c r="D47" s="3" t="s">
        <v>64</v>
      </c>
      <c r="E47" s="3" t="s">
        <v>20</v>
      </c>
      <c r="F47" s="3" t="s">
        <v>59</v>
      </c>
      <c r="G47" s="3">
        <v>3</v>
      </c>
      <c r="H47" s="3">
        <v>12000</v>
      </c>
      <c r="I47" s="3">
        <v>25</v>
      </c>
      <c r="J47" s="3">
        <v>27000</v>
      </c>
      <c r="K47" s="3">
        <v>8000</v>
      </c>
      <c r="L47" s="3">
        <v>24000</v>
      </c>
      <c r="M47" s="3">
        <v>3000</v>
      </c>
      <c r="N47" s="3" t="s">
        <v>42</v>
      </c>
      <c r="O47" s="3" t="s">
        <v>30</v>
      </c>
      <c r="P47" s="3" t="s">
        <v>44</v>
      </c>
    </row>
    <row r="48" spans="1:16" x14ac:dyDescent="0.25">
      <c r="A48" s="2" t="s">
        <v>162</v>
      </c>
      <c r="B48" s="2" t="s">
        <v>163</v>
      </c>
      <c r="C48" s="2" t="s">
        <v>39</v>
      </c>
      <c r="D48" s="2" t="s">
        <v>48</v>
      </c>
      <c r="E48" s="2" t="s">
        <v>93</v>
      </c>
      <c r="F48" s="2" t="s">
        <v>98</v>
      </c>
      <c r="G48" s="2">
        <v>13</v>
      </c>
      <c r="H48" s="2">
        <v>400</v>
      </c>
      <c r="I48" s="2">
        <v>25</v>
      </c>
      <c r="J48" s="2">
        <v>3900</v>
      </c>
      <c r="K48" s="2">
        <v>280</v>
      </c>
      <c r="L48" s="2">
        <v>3640</v>
      </c>
      <c r="M48" s="2">
        <v>260</v>
      </c>
      <c r="N48" s="2" t="s">
        <v>42</v>
      </c>
      <c r="O48" s="2" t="s">
        <v>30</v>
      </c>
      <c r="P48" s="2" t="s">
        <v>44</v>
      </c>
    </row>
    <row r="49" spans="1:16" x14ac:dyDescent="0.25">
      <c r="A49" s="3" t="s">
        <v>164</v>
      </c>
      <c r="B49" s="3" t="s">
        <v>165</v>
      </c>
      <c r="C49" s="3" t="s">
        <v>77</v>
      </c>
      <c r="D49" s="3" t="s">
        <v>40</v>
      </c>
      <c r="E49" s="3" t="s">
        <v>53</v>
      </c>
      <c r="F49" s="3" t="s">
        <v>101</v>
      </c>
      <c r="G49" s="3">
        <v>10</v>
      </c>
      <c r="H49" s="3">
        <v>1200</v>
      </c>
      <c r="I49" s="3">
        <v>15</v>
      </c>
      <c r="J49" s="3">
        <v>10200</v>
      </c>
      <c r="K49" s="3">
        <v>700</v>
      </c>
      <c r="L49" s="3">
        <v>7000</v>
      </c>
      <c r="M49" s="3">
        <v>3200</v>
      </c>
      <c r="N49" s="3" t="s">
        <v>22</v>
      </c>
      <c r="O49" s="3" t="s">
        <v>55</v>
      </c>
      <c r="P49" s="3" t="s">
        <v>44</v>
      </c>
    </row>
    <row r="50" spans="1:16" x14ac:dyDescent="0.25">
      <c r="A50" s="2" t="s">
        <v>166</v>
      </c>
      <c r="B50" s="2" t="s">
        <v>167</v>
      </c>
      <c r="C50" s="2" t="s">
        <v>47</v>
      </c>
      <c r="D50" s="2" t="s">
        <v>52</v>
      </c>
      <c r="E50" s="2" t="s">
        <v>93</v>
      </c>
      <c r="F50" s="2" t="s">
        <v>109</v>
      </c>
      <c r="G50" s="2">
        <v>15</v>
      </c>
      <c r="H50" s="2">
        <v>700</v>
      </c>
      <c r="I50" s="2">
        <v>25</v>
      </c>
      <c r="J50" s="2">
        <v>7875</v>
      </c>
      <c r="K50" s="2">
        <v>500</v>
      </c>
      <c r="L50" s="2">
        <v>7500</v>
      </c>
      <c r="M50" s="2">
        <v>375</v>
      </c>
      <c r="N50" s="2" t="s">
        <v>22</v>
      </c>
      <c r="O50" s="2" t="s">
        <v>30</v>
      </c>
      <c r="P50" s="2" t="s">
        <v>44</v>
      </c>
    </row>
    <row r="51" spans="1:16" x14ac:dyDescent="0.25">
      <c r="A51" s="3" t="s">
        <v>168</v>
      </c>
      <c r="B51" s="3" t="s">
        <v>169</v>
      </c>
      <c r="C51" s="3" t="s">
        <v>18</v>
      </c>
      <c r="D51" s="3" t="s">
        <v>48</v>
      </c>
      <c r="E51" s="3" t="s">
        <v>53</v>
      </c>
      <c r="F51" s="3" t="s">
        <v>101</v>
      </c>
      <c r="G51" s="3">
        <v>11</v>
      </c>
      <c r="H51" s="3">
        <v>1200</v>
      </c>
      <c r="I51" s="3">
        <v>0</v>
      </c>
      <c r="J51" s="3">
        <v>13200</v>
      </c>
      <c r="K51" s="3">
        <v>700</v>
      </c>
      <c r="L51" s="3">
        <v>7700</v>
      </c>
      <c r="M51" s="3">
        <v>5500</v>
      </c>
      <c r="N51" s="3" t="s">
        <v>22</v>
      </c>
      <c r="O51" s="3" t="s">
        <v>23</v>
      </c>
      <c r="P51" s="3" t="s">
        <v>44</v>
      </c>
    </row>
    <row r="52" spans="1:16" x14ac:dyDescent="0.25">
      <c r="A52" s="2" t="s">
        <v>170</v>
      </c>
      <c r="B52" s="2" t="s">
        <v>171</v>
      </c>
      <c r="C52" s="2" t="s">
        <v>92</v>
      </c>
      <c r="D52" s="2" t="s">
        <v>19</v>
      </c>
      <c r="E52" s="2" t="s">
        <v>28</v>
      </c>
      <c r="F52" s="2" t="s">
        <v>116</v>
      </c>
      <c r="G52" s="2">
        <v>16</v>
      </c>
      <c r="H52" s="2">
        <v>85000</v>
      </c>
      <c r="I52" s="2">
        <v>20</v>
      </c>
      <c r="J52" s="2">
        <v>1088000</v>
      </c>
      <c r="K52" s="2">
        <v>65000</v>
      </c>
      <c r="L52" s="2">
        <v>1040000</v>
      </c>
      <c r="M52" s="2">
        <v>48000</v>
      </c>
      <c r="N52" s="2" t="s">
        <v>22</v>
      </c>
      <c r="O52" s="2" t="s">
        <v>66</v>
      </c>
      <c r="P52" s="2" t="s">
        <v>44</v>
      </c>
    </row>
    <row r="53" spans="1:16" x14ac:dyDescent="0.25">
      <c r="A53" s="3" t="s">
        <v>172</v>
      </c>
      <c r="B53" s="3" t="s">
        <v>173</v>
      </c>
      <c r="C53" s="3" t="s">
        <v>47</v>
      </c>
      <c r="D53" s="3" t="s">
        <v>64</v>
      </c>
      <c r="E53" s="3" t="s">
        <v>93</v>
      </c>
      <c r="F53" s="3" t="s">
        <v>109</v>
      </c>
      <c r="G53" s="3">
        <v>13</v>
      </c>
      <c r="H53" s="3">
        <v>700</v>
      </c>
      <c r="I53" s="3">
        <v>5</v>
      </c>
      <c r="J53" s="3">
        <v>8645</v>
      </c>
      <c r="K53" s="3">
        <v>500</v>
      </c>
      <c r="L53" s="3">
        <v>6500</v>
      </c>
      <c r="M53" s="3">
        <v>2145</v>
      </c>
      <c r="N53" s="3" t="s">
        <v>22</v>
      </c>
      <c r="O53" s="3" t="s">
        <v>23</v>
      </c>
      <c r="P53" s="3" t="s">
        <v>24</v>
      </c>
    </row>
    <row r="54" spans="1:16" x14ac:dyDescent="0.25">
      <c r="A54" s="2" t="s">
        <v>174</v>
      </c>
      <c r="B54" s="2" t="s">
        <v>175</v>
      </c>
      <c r="C54" s="2" t="s">
        <v>77</v>
      </c>
      <c r="D54" s="2" t="s">
        <v>64</v>
      </c>
      <c r="E54" s="2" t="s">
        <v>34</v>
      </c>
      <c r="F54" s="2" t="s">
        <v>89</v>
      </c>
      <c r="G54" s="2">
        <v>15</v>
      </c>
      <c r="H54" s="2">
        <v>4500</v>
      </c>
      <c r="I54" s="2">
        <v>0</v>
      </c>
      <c r="J54" s="2">
        <v>67500</v>
      </c>
      <c r="K54" s="2">
        <v>2500</v>
      </c>
      <c r="L54" s="2">
        <v>37500</v>
      </c>
      <c r="M54" s="2">
        <v>30000</v>
      </c>
      <c r="N54" s="2" t="s">
        <v>22</v>
      </c>
      <c r="O54" s="2" t="s">
        <v>43</v>
      </c>
      <c r="P54" s="2" t="s">
        <v>44</v>
      </c>
    </row>
    <row r="55" spans="1:16" x14ac:dyDescent="0.25">
      <c r="A55" s="3" t="s">
        <v>176</v>
      </c>
      <c r="B55" s="3" t="s">
        <v>177</v>
      </c>
      <c r="C55" s="3" t="s">
        <v>63</v>
      </c>
      <c r="D55" s="3" t="s">
        <v>52</v>
      </c>
      <c r="E55" s="3" t="s">
        <v>93</v>
      </c>
      <c r="F55" s="3" t="s">
        <v>94</v>
      </c>
      <c r="G55" s="3">
        <v>17</v>
      </c>
      <c r="H55" s="3">
        <v>1200</v>
      </c>
      <c r="I55" s="3">
        <v>15</v>
      </c>
      <c r="J55" s="3">
        <v>17340</v>
      </c>
      <c r="K55" s="3">
        <v>900</v>
      </c>
      <c r="L55" s="3">
        <v>15300</v>
      </c>
      <c r="M55" s="3">
        <v>2040</v>
      </c>
      <c r="N55" s="3" t="s">
        <v>42</v>
      </c>
      <c r="O55" s="3" t="s">
        <v>36</v>
      </c>
      <c r="P55" s="3" t="s">
        <v>24</v>
      </c>
    </row>
    <row r="56" spans="1:16" x14ac:dyDescent="0.25">
      <c r="A56" s="2" t="s">
        <v>178</v>
      </c>
      <c r="B56" s="2" t="s">
        <v>179</v>
      </c>
      <c r="C56" s="2" t="s">
        <v>122</v>
      </c>
      <c r="D56" s="2" t="s">
        <v>48</v>
      </c>
      <c r="E56" s="2" t="s">
        <v>34</v>
      </c>
      <c r="F56" s="2" t="s">
        <v>41</v>
      </c>
      <c r="G56" s="2">
        <v>17</v>
      </c>
      <c r="H56" s="2">
        <v>3000</v>
      </c>
      <c r="I56" s="2">
        <v>15</v>
      </c>
      <c r="J56" s="2">
        <v>43350</v>
      </c>
      <c r="K56" s="2">
        <v>1500</v>
      </c>
      <c r="L56" s="2">
        <v>25500</v>
      </c>
      <c r="M56" s="2">
        <v>17850</v>
      </c>
      <c r="N56" s="2" t="s">
        <v>22</v>
      </c>
      <c r="O56" s="2" t="s">
        <v>55</v>
      </c>
      <c r="P56" s="2" t="s">
        <v>44</v>
      </c>
    </row>
    <row r="57" spans="1:16" x14ac:dyDescent="0.25">
      <c r="A57" s="3" t="s">
        <v>180</v>
      </c>
      <c r="B57" s="3" t="s">
        <v>181</v>
      </c>
      <c r="C57" s="3" t="s">
        <v>33</v>
      </c>
      <c r="D57" s="3" t="s">
        <v>48</v>
      </c>
      <c r="E57" s="3" t="s">
        <v>20</v>
      </c>
      <c r="F57" s="3" t="s">
        <v>182</v>
      </c>
      <c r="G57" s="3">
        <v>18</v>
      </c>
      <c r="H57" s="3">
        <v>5000</v>
      </c>
      <c r="I57" s="3">
        <v>0</v>
      </c>
      <c r="J57" s="3">
        <v>90000</v>
      </c>
      <c r="K57" s="3">
        <v>3000</v>
      </c>
      <c r="L57" s="3">
        <v>54000</v>
      </c>
      <c r="M57" s="3">
        <v>36000</v>
      </c>
      <c r="N57" s="3" t="s">
        <v>22</v>
      </c>
      <c r="O57" s="3" t="s">
        <v>36</v>
      </c>
      <c r="P57" s="3" t="s">
        <v>44</v>
      </c>
    </row>
    <row r="58" spans="1:16" x14ac:dyDescent="0.25">
      <c r="A58" s="2" t="s">
        <v>183</v>
      </c>
      <c r="B58" s="2" t="s">
        <v>184</v>
      </c>
      <c r="C58" s="2" t="s">
        <v>92</v>
      </c>
      <c r="D58" s="2" t="s">
        <v>64</v>
      </c>
      <c r="E58" s="2" t="s">
        <v>28</v>
      </c>
      <c r="F58" s="2" t="s">
        <v>49</v>
      </c>
      <c r="G58" s="2">
        <v>14</v>
      </c>
      <c r="H58" s="2">
        <v>5000</v>
      </c>
      <c r="I58" s="2">
        <v>10</v>
      </c>
      <c r="J58" s="2">
        <v>63000</v>
      </c>
      <c r="K58" s="2">
        <v>3000</v>
      </c>
      <c r="L58" s="2">
        <v>42000</v>
      </c>
      <c r="M58" s="2">
        <v>21000</v>
      </c>
      <c r="N58" s="2" t="s">
        <v>42</v>
      </c>
      <c r="O58" s="2" t="s">
        <v>66</v>
      </c>
      <c r="P58" s="2" t="s">
        <v>44</v>
      </c>
    </row>
    <row r="59" spans="1:16" x14ac:dyDescent="0.25">
      <c r="A59" s="3" t="s">
        <v>185</v>
      </c>
      <c r="B59" s="3" t="s">
        <v>165</v>
      </c>
      <c r="C59" s="3" t="s">
        <v>77</v>
      </c>
      <c r="D59" s="3" t="s">
        <v>19</v>
      </c>
      <c r="E59" s="3" t="s">
        <v>53</v>
      </c>
      <c r="F59" s="3" t="s">
        <v>71</v>
      </c>
      <c r="G59" s="3">
        <v>16</v>
      </c>
      <c r="H59" s="3">
        <v>8000</v>
      </c>
      <c r="I59" s="3">
        <v>0</v>
      </c>
      <c r="J59" s="3">
        <v>128000</v>
      </c>
      <c r="K59" s="3">
        <v>5000</v>
      </c>
      <c r="L59" s="3">
        <v>80000</v>
      </c>
      <c r="M59" s="3">
        <v>48000</v>
      </c>
      <c r="N59" s="3" t="s">
        <v>42</v>
      </c>
      <c r="O59" s="3" t="s">
        <v>55</v>
      </c>
      <c r="P59" s="3" t="s">
        <v>86</v>
      </c>
    </row>
    <row r="60" spans="1:16" x14ac:dyDescent="0.25">
      <c r="A60" s="2" t="s">
        <v>186</v>
      </c>
      <c r="B60" s="2" t="s">
        <v>187</v>
      </c>
      <c r="C60" s="2" t="s">
        <v>63</v>
      </c>
      <c r="D60" s="2" t="s">
        <v>64</v>
      </c>
      <c r="E60" s="2" t="s">
        <v>93</v>
      </c>
      <c r="F60" s="2" t="s">
        <v>188</v>
      </c>
      <c r="G60" s="2">
        <v>9</v>
      </c>
      <c r="H60" s="2">
        <v>1500</v>
      </c>
      <c r="I60" s="2">
        <v>15</v>
      </c>
      <c r="J60" s="2">
        <v>11475</v>
      </c>
      <c r="K60" s="2">
        <v>1100</v>
      </c>
      <c r="L60" s="2">
        <v>9900</v>
      </c>
      <c r="M60" s="2">
        <v>1575</v>
      </c>
      <c r="N60" s="2" t="s">
        <v>42</v>
      </c>
      <c r="O60" s="2" t="s">
        <v>43</v>
      </c>
      <c r="P60" s="2" t="s">
        <v>44</v>
      </c>
    </row>
    <row r="61" spans="1:16" x14ac:dyDescent="0.25">
      <c r="A61" s="3" t="s">
        <v>189</v>
      </c>
      <c r="B61" s="3" t="s">
        <v>190</v>
      </c>
      <c r="C61" s="3" t="s">
        <v>77</v>
      </c>
      <c r="D61" s="3" t="s">
        <v>40</v>
      </c>
      <c r="E61" s="3" t="s">
        <v>93</v>
      </c>
      <c r="F61" s="3" t="s">
        <v>188</v>
      </c>
      <c r="G61" s="3">
        <v>20</v>
      </c>
      <c r="H61" s="3">
        <v>1500</v>
      </c>
      <c r="I61" s="3">
        <v>20</v>
      </c>
      <c r="J61" s="3">
        <v>24000</v>
      </c>
      <c r="K61" s="3">
        <v>1100</v>
      </c>
      <c r="L61" s="3">
        <v>22000</v>
      </c>
      <c r="M61" s="3">
        <v>2000</v>
      </c>
      <c r="N61" s="3" t="s">
        <v>22</v>
      </c>
      <c r="O61" s="3" t="s">
        <v>66</v>
      </c>
      <c r="P61" s="3" t="s">
        <v>44</v>
      </c>
    </row>
    <row r="62" spans="1:16" x14ac:dyDescent="0.25">
      <c r="A62" s="2" t="s">
        <v>191</v>
      </c>
      <c r="B62" s="2" t="s">
        <v>192</v>
      </c>
      <c r="C62" s="2" t="s">
        <v>104</v>
      </c>
      <c r="D62" s="2" t="s">
        <v>159</v>
      </c>
      <c r="E62" s="2" t="s">
        <v>93</v>
      </c>
      <c r="F62" s="2" t="s">
        <v>188</v>
      </c>
      <c r="G62" s="2">
        <v>15</v>
      </c>
      <c r="H62" s="2">
        <v>1500</v>
      </c>
      <c r="I62" s="2">
        <v>5</v>
      </c>
      <c r="J62" s="2">
        <v>21375</v>
      </c>
      <c r="K62" s="2">
        <v>1100</v>
      </c>
      <c r="L62" s="2">
        <v>16500</v>
      </c>
      <c r="M62" s="2">
        <v>4875</v>
      </c>
      <c r="N62" s="2" t="s">
        <v>22</v>
      </c>
      <c r="O62" s="2" t="s">
        <v>55</v>
      </c>
      <c r="P62" s="2" t="s">
        <v>44</v>
      </c>
    </row>
    <row r="63" spans="1:16" x14ac:dyDescent="0.25">
      <c r="A63" s="3" t="s">
        <v>193</v>
      </c>
      <c r="B63" s="3" t="s">
        <v>68</v>
      </c>
      <c r="C63" s="3" t="s">
        <v>122</v>
      </c>
      <c r="D63" s="3" t="s">
        <v>52</v>
      </c>
      <c r="E63" s="3" t="s">
        <v>20</v>
      </c>
      <c r="F63" s="3" t="s">
        <v>59</v>
      </c>
      <c r="G63" s="3">
        <v>9</v>
      </c>
      <c r="H63" s="3">
        <v>12000</v>
      </c>
      <c r="I63" s="3">
        <v>15</v>
      </c>
      <c r="J63" s="3">
        <v>91800</v>
      </c>
      <c r="K63" s="3">
        <v>8000</v>
      </c>
      <c r="L63" s="3">
        <v>72000</v>
      </c>
      <c r="M63" s="3">
        <v>19800</v>
      </c>
      <c r="N63" s="3" t="s">
        <v>42</v>
      </c>
      <c r="O63" s="3" t="s">
        <v>43</v>
      </c>
      <c r="P63" s="3" t="s">
        <v>44</v>
      </c>
    </row>
    <row r="64" spans="1:16" x14ac:dyDescent="0.25">
      <c r="A64" s="2" t="s">
        <v>194</v>
      </c>
      <c r="B64" s="2" t="s">
        <v>195</v>
      </c>
      <c r="C64" s="2" t="s">
        <v>104</v>
      </c>
      <c r="D64" s="2" t="s">
        <v>52</v>
      </c>
      <c r="E64" s="2" t="s">
        <v>34</v>
      </c>
      <c r="F64" s="2" t="s">
        <v>196</v>
      </c>
      <c r="G64" s="2">
        <v>2</v>
      </c>
      <c r="H64" s="2">
        <v>2500</v>
      </c>
      <c r="I64" s="2">
        <v>0</v>
      </c>
      <c r="J64" s="2">
        <v>5000</v>
      </c>
      <c r="K64" s="2">
        <v>1200</v>
      </c>
      <c r="L64" s="2">
        <v>2400</v>
      </c>
      <c r="M64" s="2">
        <v>2600</v>
      </c>
      <c r="N64" s="2" t="s">
        <v>22</v>
      </c>
      <c r="O64" s="2" t="s">
        <v>36</v>
      </c>
      <c r="P64" s="2" t="s">
        <v>86</v>
      </c>
    </row>
    <row r="65" spans="1:16" x14ac:dyDescent="0.25">
      <c r="A65" s="3" t="s">
        <v>197</v>
      </c>
      <c r="B65" s="3" t="s">
        <v>198</v>
      </c>
      <c r="C65" s="3" t="s">
        <v>92</v>
      </c>
      <c r="D65" s="3" t="s">
        <v>64</v>
      </c>
      <c r="E65" s="3" t="s">
        <v>34</v>
      </c>
      <c r="F65" s="3" t="s">
        <v>35</v>
      </c>
      <c r="G65" s="3">
        <v>4</v>
      </c>
      <c r="H65" s="3">
        <v>6000</v>
      </c>
      <c r="I65" s="3">
        <v>20</v>
      </c>
      <c r="J65" s="3">
        <v>19200</v>
      </c>
      <c r="K65" s="3">
        <v>3500</v>
      </c>
      <c r="L65" s="3">
        <v>14000</v>
      </c>
      <c r="M65" s="3">
        <v>5200</v>
      </c>
      <c r="N65" s="3" t="s">
        <v>22</v>
      </c>
      <c r="O65" s="3" t="s">
        <v>66</v>
      </c>
      <c r="P65" s="3" t="s">
        <v>24</v>
      </c>
    </row>
    <row r="66" spans="1:16" x14ac:dyDescent="0.25">
      <c r="A66" s="2" t="s">
        <v>199</v>
      </c>
      <c r="B66" s="2" t="s">
        <v>200</v>
      </c>
      <c r="C66" s="2" t="s">
        <v>92</v>
      </c>
      <c r="D66" s="2" t="s">
        <v>159</v>
      </c>
      <c r="E66" s="2" t="s">
        <v>34</v>
      </c>
      <c r="F66" s="2" t="s">
        <v>41</v>
      </c>
      <c r="G66" s="2">
        <v>4</v>
      </c>
      <c r="H66" s="2">
        <v>3000</v>
      </c>
      <c r="I66" s="2">
        <v>20</v>
      </c>
      <c r="J66" s="2">
        <v>9600</v>
      </c>
      <c r="K66" s="2">
        <v>1500</v>
      </c>
      <c r="L66" s="2">
        <v>6000</v>
      </c>
      <c r="M66" s="2">
        <v>3600</v>
      </c>
      <c r="N66" s="2" t="s">
        <v>22</v>
      </c>
      <c r="O66" s="2" t="s">
        <v>55</v>
      </c>
      <c r="P66" s="2" t="s">
        <v>44</v>
      </c>
    </row>
    <row r="67" spans="1:16" x14ac:dyDescent="0.25">
      <c r="A67" s="3" t="s">
        <v>201</v>
      </c>
      <c r="B67" s="3" t="s">
        <v>202</v>
      </c>
      <c r="C67" s="3" t="s">
        <v>77</v>
      </c>
      <c r="D67" s="3" t="s">
        <v>64</v>
      </c>
      <c r="E67" s="3" t="s">
        <v>28</v>
      </c>
      <c r="F67" s="3" t="s">
        <v>127</v>
      </c>
      <c r="G67" s="3">
        <v>8</v>
      </c>
      <c r="H67" s="3">
        <v>15000</v>
      </c>
      <c r="I67" s="3">
        <v>0</v>
      </c>
      <c r="J67" s="3">
        <v>120000</v>
      </c>
      <c r="K67" s="3">
        <v>10000</v>
      </c>
      <c r="L67" s="3">
        <v>80000</v>
      </c>
      <c r="M67" s="3">
        <v>40000</v>
      </c>
      <c r="N67" s="3" t="s">
        <v>42</v>
      </c>
      <c r="O67" s="3" t="s">
        <v>23</v>
      </c>
      <c r="P67" s="3" t="s">
        <v>24</v>
      </c>
    </row>
    <row r="68" spans="1:16" x14ac:dyDescent="0.25">
      <c r="A68" s="2" t="s">
        <v>203</v>
      </c>
      <c r="B68" s="2" t="s">
        <v>204</v>
      </c>
      <c r="C68" s="2" t="s">
        <v>47</v>
      </c>
      <c r="D68" s="2" t="s">
        <v>19</v>
      </c>
      <c r="E68" s="2" t="s">
        <v>20</v>
      </c>
      <c r="F68" s="2" t="s">
        <v>137</v>
      </c>
      <c r="G68" s="2">
        <v>14</v>
      </c>
      <c r="H68" s="2">
        <v>15000</v>
      </c>
      <c r="I68" s="2">
        <v>25</v>
      </c>
      <c r="J68" s="2">
        <v>157500</v>
      </c>
      <c r="K68" s="2">
        <v>10000</v>
      </c>
      <c r="L68" s="2">
        <v>140000</v>
      </c>
      <c r="M68" s="2">
        <v>17500</v>
      </c>
      <c r="N68" s="2" t="s">
        <v>42</v>
      </c>
      <c r="O68" s="2" t="s">
        <v>43</v>
      </c>
      <c r="P68" s="2" t="s">
        <v>44</v>
      </c>
    </row>
    <row r="69" spans="1:16" x14ac:dyDescent="0.25">
      <c r="A69" s="3" t="s">
        <v>205</v>
      </c>
      <c r="B69" s="3" t="s">
        <v>38</v>
      </c>
      <c r="C69" s="3" t="s">
        <v>104</v>
      </c>
      <c r="D69" s="3" t="s">
        <v>27</v>
      </c>
      <c r="E69" s="3" t="s">
        <v>93</v>
      </c>
      <c r="F69" s="3" t="s">
        <v>119</v>
      </c>
      <c r="G69" s="3">
        <v>14</v>
      </c>
      <c r="H69" s="3">
        <v>800</v>
      </c>
      <c r="I69" s="3">
        <v>10</v>
      </c>
      <c r="J69" s="3">
        <v>10080</v>
      </c>
      <c r="K69" s="3">
        <v>600</v>
      </c>
      <c r="L69" s="3">
        <v>8400</v>
      </c>
      <c r="M69" s="3">
        <v>1680</v>
      </c>
      <c r="N69" s="3" t="s">
        <v>42</v>
      </c>
      <c r="O69" s="3" t="s">
        <v>23</v>
      </c>
      <c r="P69" s="3" t="s">
        <v>44</v>
      </c>
    </row>
    <row r="70" spans="1:16" x14ac:dyDescent="0.25">
      <c r="A70" s="2" t="s">
        <v>206</v>
      </c>
      <c r="B70" s="2" t="s">
        <v>207</v>
      </c>
      <c r="C70" s="2" t="s">
        <v>63</v>
      </c>
      <c r="D70" s="2" t="s">
        <v>48</v>
      </c>
      <c r="E70" s="2" t="s">
        <v>53</v>
      </c>
      <c r="F70" s="2" t="s">
        <v>101</v>
      </c>
      <c r="G70" s="2">
        <v>16</v>
      </c>
      <c r="H70" s="2">
        <v>1200</v>
      </c>
      <c r="I70" s="2">
        <v>15</v>
      </c>
      <c r="J70" s="2">
        <v>16320</v>
      </c>
      <c r="K70" s="2">
        <v>700</v>
      </c>
      <c r="L70" s="2">
        <v>11200</v>
      </c>
      <c r="M70" s="2">
        <v>5120</v>
      </c>
      <c r="N70" s="2" t="s">
        <v>42</v>
      </c>
      <c r="O70" s="2" t="s">
        <v>23</v>
      </c>
      <c r="P70" s="2" t="s">
        <v>44</v>
      </c>
    </row>
    <row r="71" spans="1:16" x14ac:dyDescent="0.25">
      <c r="A71" s="3" t="s">
        <v>208</v>
      </c>
      <c r="B71" s="3" t="s">
        <v>209</v>
      </c>
      <c r="C71" s="3" t="s">
        <v>33</v>
      </c>
      <c r="D71" s="3" t="s">
        <v>159</v>
      </c>
      <c r="E71" s="3" t="s">
        <v>20</v>
      </c>
      <c r="F71" s="3" t="s">
        <v>59</v>
      </c>
      <c r="G71" s="3">
        <v>8</v>
      </c>
      <c r="H71" s="3">
        <v>12000</v>
      </c>
      <c r="I71" s="3">
        <v>15</v>
      </c>
      <c r="J71" s="3">
        <v>81600</v>
      </c>
      <c r="K71" s="3">
        <v>8000</v>
      </c>
      <c r="L71" s="3">
        <v>64000</v>
      </c>
      <c r="M71" s="3">
        <v>17600</v>
      </c>
      <c r="N71" s="3" t="s">
        <v>42</v>
      </c>
      <c r="O71" s="3" t="s">
        <v>55</v>
      </c>
      <c r="P71" s="3" t="s">
        <v>44</v>
      </c>
    </row>
    <row r="72" spans="1:16" x14ac:dyDescent="0.25">
      <c r="A72" s="2" t="s">
        <v>210</v>
      </c>
      <c r="B72" s="2" t="s">
        <v>211</v>
      </c>
      <c r="C72" s="2" t="s">
        <v>92</v>
      </c>
      <c r="D72" s="2" t="s">
        <v>74</v>
      </c>
      <c r="E72" s="2" t="s">
        <v>34</v>
      </c>
      <c r="F72" s="2" t="s">
        <v>41</v>
      </c>
      <c r="G72" s="2">
        <v>9</v>
      </c>
      <c r="H72" s="2">
        <v>3000</v>
      </c>
      <c r="I72" s="2">
        <v>10</v>
      </c>
      <c r="J72" s="2">
        <v>24300</v>
      </c>
      <c r="K72" s="2">
        <v>1500</v>
      </c>
      <c r="L72" s="2">
        <v>13500</v>
      </c>
      <c r="M72" s="2">
        <v>10800</v>
      </c>
      <c r="N72" s="2" t="s">
        <v>42</v>
      </c>
      <c r="O72" s="2" t="s">
        <v>30</v>
      </c>
      <c r="P72" s="2" t="s">
        <v>24</v>
      </c>
    </row>
    <row r="73" spans="1:16" x14ac:dyDescent="0.25">
      <c r="A73" s="3" t="s">
        <v>212</v>
      </c>
      <c r="B73" s="3" t="s">
        <v>213</v>
      </c>
      <c r="C73" s="3" t="s">
        <v>63</v>
      </c>
      <c r="D73" s="3" t="s">
        <v>19</v>
      </c>
      <c r="E73" s="3" t="s">
        <v>53</v>
      </c>
      <c r="F73" s="3" t="s">
        <v>54</v>
      </c>
      <c r="G73" s="3">
        <v>3</v>
      </c>
      <c r="H73" s="3">
        <v>2000</v>
      </c>
      <c r="I73" s="3">
        <v>5</v>
      </c>
      <c r="J73" s="3">
        <v>5700</v>
      </c>
      <c r="K73" s="3">
        <v>1200</v>
      </c>
      <c r="L73" s="3">
        <v>3600</v>
      </c>
      <c r="M73" s="3">
        <v>2100</v>
      </c>
      <c r="N73" s="3" t="s">
        <v>42</v>
      </c>
      <c r="O73" s="3" t="s">
        <v>66</v>
      </c>
      <c r="P73" s="3" t="s">
        <v>44</v>
      </c>
    </row>
    <row r="74" spans="1:16" x14ac:dyDescent="0.25">
      <c r="A74" s="2" t="s">
        <v>214</v>
      </c>
      <c r="B74" s="2" t="s">
        <v>215</v>
      </c>
      <c r="C74" s="2" t="s">
        <v>122</v>
      </c>
      <c r="D74" s="2" t="s">
        <v>74</v>
      </c>
      <c r="E74" s="2" t="s">
        <v>93</v>
      </c>
      <c r="F74" s="2" t="s">
        <v>119</v>
      </c>
      <c r="G74" s="2">
        <v>3</v>
      </c>
      <c r="H74" s="2">
        <v>800</v>
      </c>
      <c r="I74" s="2">
        <v>10</v>
      </c>
      <c r="J74" s="2">
        <v>2160</v>
      </c>
      <c r="K74" s="2">
        <v>600</v>
      </c>
      <c r="L74" s="2">
        <v>1800</v>
      </c>
      <c r="M74" s="2">
        <v>360</v>
      </c>
      <c r="N74" s="2" t="s">
        <v>22</v>
      </c>
      <c r="O74" s="2" t="s">
        <v>66</v>
      </c>
      <c r="P74" s="2" t="s">
        <v>24</v>
      </c>
    </row>
    <row r="75" spans="1:16" x14ac:dyDescent="0.25">
      <c r="A75" s="3" t="s">
        <v>216</v>
      </c>
      <c r="B75" s="3" t="s">
        <v>217</v>
      </c>
      <c r="C75" s="3" t="s">
        <v>47</v>
      </c>
      <c r="D75" s="3" t="s">
        <v>52</v>
      </c>
      <c r="E75" s="3" t="s">
        <v>93</v>
      </c>
      <c r="F75" s="3" t="s">
        <v>94</v>
      </c>
      <c r="G75" s="3">
        <v>17</v>
      </c>
      <c r="H75" s="3">
        <v>1200</v>
      </c>
      <c r="I75" s="3">
        <v>10</v>
      </c>
      <c r="J75" s="3">
        <v>18360</v>
      </c>
      <c r="K75" s="3">
        <v>900</v>
      </c>
      <c r="L75" s="3">
        <v>15300</v>
      </c>
      <c r="M75" s="3">
        <v>3060</v>
      </c>
      <c r="N75" s="3" t="s">
        <v>42</v>
      </c>
      <c r="O75" s="3" t="s">
        <v>23</v>
      </c>
      <c r="P75" s="3" t="s">
        <v>44</v>
      </c>
    </row>
    <row r="76" spans="1:16" x14ac:dyDescent="0.25">
      <c r="A76" s="2" t="s">
        <v>218</v>
      </c>
      <c r="B76" s="2" t="s">
        <v>219</v>
      </c>
      <c r="C76" s="2" t="s">
        <v>122</v>
      </c>
      <c r="D76" s="2" t="s">
        <v>48</v>
      </c>
      <c r="E76" s="2" t="s">
        <v>20</v>
      </c>
      <c r="F76" s="2" t="s">
        <v>182</v>
      </c>
      <c r="G76" s="2">
        <v>8</v>
      </c>
      <c r="H76" s="2">
        <v>5000</v>
      </c>
      <c r="I76" s="2">
        <v>0</v>
      </c>
      <c r="J76" s="2">
        <v>40000</v>
      </c>
      <c r="K76" s="2">
        <v>3000</v>
      </c>
      <c r="L76" s="2">
        <v>24000</v>
      </c>
      <c r="M76" s="2">
        <v>16000</v>
      </c>
      <c r="N76" s="2" t="s">
        <v>22</v>
      </c>
      <c r="O76" s="2" t="s">
        <v>55</v>
      </c>
      <c r="P76" s="2" t="s">
        <v>44</v>
      </c>
    </row>
    <row r="77" spans="1:16" x14ac:dyDescent="0.25">
      <c r="A77" s="3" t="s">
        <v>220</v>
      </c>
      <c r="B77" s="3" t="s">
        <v>221</v>
      </c>
      <c r="C77" s="3" t="s">
        <v>92</v>
      </c>
      <c r="D77" s="3" t="s">
        <v>64</v>
      </c>
      <c r="E77" s="3" t="s">
        <v>34</v>
      </c>
      <c r="F77" s="3" t="s">
        <v>35</v>
      </c>
      <c r="G77" s="3">
        <v>9</v>
      </c>
      <c r="H77" s="3">
        <v>6000</v>
      </c>
      <c r="I77" s="3">
        <v>25</v>
      </c>
      <c r="J77" s="3">
        <v>40500</v>
      </c>
      <c r="K77" s="3">
        <v>3500</v>
      </c>
      <c r="L77" s="3">
        <v>31500</v>
      </c>
      <c r="M77" s="3">
        <v>9000</v>
      </c>
      <c r="N77" s="3" t="s">
        <v>42</v>
      </c>
      <c r="O77" s="3" t="s">
        <v>43</v>
      </c>
      <c r="P77" s="3" t="s">
        <v>86</v>
      </c>
    </row>
    <row r="78" spans="1:16" x14ac:dyDescent="0.25">
      <c r="A78" s="2" t="s">
        <v>222</v>
      </c>
      <c r="B78" s="2" t="s">
        <v>223</v>
      </c>
      <c r="C78" s="2" t="s">
        <v>33</v>
      </c>
      <c r="D78" s="2" t="s">
        <v>52</v>
      </c>
      <c r="E78" s="2" t="s">
        <v>34</v>
      </c>
      <c r="F78" s="2" t="s">
        <v>41</v>
      </c>
      <c r="G78" s="2">
        <v>1</v>
      </c>
      <c r="H78" s="2">
        <v>3000</v>
      </c>
      <c r="I78" s="2">
        <v>25</v>
      </c>
      <c r="J78" s="2">
        <v>2250</v>
      </c>
      <c r="K78" s="2">
        <v>1500</v>
      </c>
      <c r="L78" s="2">
        <v>1500</v>
      </c>
      <c r="M78" s="2">
        <v>750</v>
      </c>
      <c r="N78" s="2" t="s">
        <v>22</v>
      </c>
      <c r="O78" s="2" t="s">
        <v>55</v>
      </c>
      <c r="P78" s="2" t="s">
        <v>44</v>
      </c>
    </row>
    <row r="79" spans="1:16" x14ac:dyDescent="0.25">
      <c r="A79" s="3" t="s">
        <v>224</v>
      </c>
      <c r="B79" s="3" t="s">
        <v>225</v>
      </c>
      <c r="C79" s="3" t="s">
        <v>63</v>
      </c>
      <c r="D79" s="3" t="s">
        <v>48</v>
      </c>
      <c r="E79" s="3" t="s">
        <v>34</v>
      </c>
      <c r="F79" s="3" t="s">
        <v>35</v>
      </c>
      <c r="G79" s="3">
        <v>4</v>
      </c>
      <c r="H79" s="3">
        <v>6000</v>
      </c>
      <c r="I79" s="3">
        <v>0</v>
      </c>
      <c r="J79" s="3">
        <v>24000</v>
      </c>
      <c r="K79" s="3">
        <v>3500</v>
      </c>
      <c r="L79" s="3">
        <v>14000</v>
      </c>
      <c r="M79" s="3">
        <v>10000</v>
      </c>
      <c r="N79" s="3" t="s">
        <v>42</v>
      </c>
      <c r="O79" s="3" t="s">
        <v>66</v>
      </c>
      <c r="P79" s="3" t="s">
        <v>44</v>
      </c>
    </row>
    <row r="80" spans="1:16" x14ac:dyDescent="0.25">
      <c r="A80" s="2" t="s">
        <v>226</v>
      </c>
      <c r="B80" s="2" t="s">
        <v>38</v>
      </c>
      <c r="C80" s="2" t="s">
        <v>92</v>
      </c>
      <c r="D80" s="2" t="s">
        <v>19</v>
      </c>
      <c r="E80" s="2" t="s">
        <v>20</v>
      </c>
      <c r="F80" s="2" t="s">
        <v>59</v>
      </c>
      <c r="G80" s="2">
        <v>4</v>
      </c>
      <c r="H80" s="2">
        <v>12000</v>
      </c>
      <c r="I80" s="2">
        <v>0</v>
      </c>
      <c r="J80" s="2">
        <v>48000</v>
      </c>
      <c r="K80" s="2">
        <v>8000</v>
      </c>
      <c r="L80" s="2">
        <v>32000</v>
      </c>
      <c r="M80" s="2">
        <v>16000</v>
      </c>
      <c r="N80" s="2" t="s">
        <v>42</v>
      </c>
      <c r="O80" s="2" t="s">
        <v>66</v>
      </c>
      <c r="P80" s="2" t="s">
        <v>44</v>
      </c>
    </row>
    <row r="81" spans="1:16" x14ac:dyDescent="0.25">
      <c r="A81" s="3" t="s">
        <v>227</v>
      </c>
      <c r="B81" s="3" t="s">
        <v>173</v>
      </c>
      <c r="C81" s="3" t="s">
        <v>104</v>
      </c>
      <c r="D81" s="3" t="s">
        <v>40</v>
      </c>
      <c r="E81" s="3" t="s">
        <v>34</v>
      </c>
      <c r="F81" s="3" t="s">
        <v>89</v>
      </c>
      <c r="G81" s="3">
        <v>10</v>
      </c>
      <c r="H81" s="3">
        <v>4500</v>
      </c>
      <c r="I81" s="3">
        <v>0</v>
      </c>
      <c r="J81" s="3">
        <v>45000</v>
      </c>
      <c r="K81" s="3">
        <v>2500</v>
      </c>
      <c r="L81" s="3">
        <v>25000</v>
      </c>
      <c r="M81" s="3">
        <v>20000</v>
      </c>
      <c r="N81" s="3" t="s">
        <v>22</v>
      </c>
      <c r="O81" s="3" t="s">
        <v>43</v>
      </c>
      <c r="P81" s="3" t="s">
        <v>44</v>
      </c>
    </row>
    <row r="82" spans="1:16" x14ac:dyDescent="0.25">
      <c r="A82" s="2" t="s">
        <v>228</v>
      </c>
      <c r="B82" s="2" t="s">
        <v>229</v>
      </c>
      <c r="C82" s="2" t="s">
        <v>47</v>
      </c>
      <c r="D82" s="2" t="s">
        <v>64</v>
      </c>
      <c r="E82" s="2" t="s">
        <v>53</v>
      </c>
      <c r="F82" s="2" t="s">
        <v>71</v>
      </c>
      <c r="G82" s="2">
        <v>15</v>
      </c>
      <c r="H82" s="2">
        <v>8000</v>
      </c>
      <c r="I82" s="2">
        <v>15</v>
      </c>
      <c r="J82" s="2">
        <v>102000</v>
      </c>
      <c r="K82" s="2">
        <v>5000</v>
      </c>
      <c r="L82" s="2">
        <v>75000</v>
      </c>
      <c r="M82" s="2">
        <v>27000</v>
      </c>
      <c r="N82" s="2" t="s">
        <v>42</v>
      </c>
      <c r="O82" s="2" t="s">
        <v>30</v>
      </c>
      <c r="P82" s="2" t="s">
        <v>56</v>
      </c>
    </row>
    <row r="83" spans="1:16" x14ac:dyDescent="0.25">
      <c r="A83" s="3" t="s">
        <v>230</v>
      </c>
      <c r="B83" s="3" t="s">
        <v>217</v>
      </c>
      <c r="C83" s="3" t="s">
        <v>47</v>
      </c>
      <c r="D83" s="3" t="s">
        <v>19</v>
      </c>
      <c r="E83" s="3" t="s">
        <v>53</v>
      </c>
      <c r="F83" s="3" t="s">
        <v>82</v>
      </c>
      <c r="G83" s="3">
        <v>7</v>
      </c>
      <c r="H83" s="3">
        <v>4000</v>
      </c>
      <c r="I83" s="3">
        <v>25</v>
      </c>
      <c r="J83" s="3">
        <v>21000</v>
      </c>
      <c r="K83" s="3">
        <v>2500</v>
      </c>
      <c r="L83" s="3">
        <v>17500</v>
      </c>
      <c r="M83" s="3">
        <v>3500</v>
      </c>
      <c r="N83" s="3" t="s">
        <v>22</v>
      </c>
      <c r="O83" s="3" t="s">
        <v>55</v>
      </c>
      <c r="P83" s="3" t="s">
        <v>24</v>
      </c>
    </row>
    <row r="84" spans="1:16" x14ac:dyDescent="0.25">
      <c r="A84" s="2" t="s">
        <v>231</v>
      </c>
      <c r="B84" s="2" t="s">
        <v>232</v>
      </c>
      <c r="C84" s="2" t="s">
        <v>33</v>
      </c>
      <c r="D84" s="2" t="s">
        <v>40</v>
      </c>
      <c r="E84" s="2" t="s">
        <v>53</v>
      </c>
      <c r="F84" s="2" t="s">
        <v>82</v>
      </c>
      <c r="G84" s="2">
        <v>6</v>
      </c>
      <c r="H84" s="2">
        <v>4000</v>
      </c>
      <c r="I84" s="2">
        <v>0</v>
      </c>
      <c r="J84" s="2">
        <v>24000</v>
      </c>
      <c r="K84" s="2">
        <v>2500</v>
      </c>
      <c r="L84" s="2">
        <v>15000</v>
      </c>
      <c r="M84" s="2">
        <v>9000</v>
      </c>
      <c r="N84" s="2" t="s">
        <v>42</v>
      </c>
      <c r="O84" s="2" t="s">
        <v>66</v>
      </c>
      <c r="P84" s="2" t="s">
        <v>24</v>
      </c>
    </row>
    <row r="85" spans="1:16" x14ac:dyDescent="0.25">
      <c r="A85" s="3" t="s">
        <v>233</v>
      </c>
      <c r="B85" s="3" t="s">
        <v>234</v>
      </c>
      <c r="C85" s="3" t="s">
        <v>39</v>
      </c>
      <c r="D85" s="3" t="s">
        <v>19</v>
      </c>
      <c r="E85" s="3" t="s">
        <v>34</v>
      </c>
      <c r="F85" s="3" t="s">
        <v>41</v>
      </c>
      <c r="G85" s="3">
        <v>10</v>
      </c>
      <c r="H85" s="3">
        <v>3000</v>
      </c>
      <c r="I85" s="3">
        <v>25</v>
      </c>
      <c r="J85" s="3">
        <v>22500</v>
      </c>
      <c r="K85" s="3">
        <v>1500</v>
      </c>
      <c r="L85" s="3">
        <v>15000</v>
      </c>
      <c r="M85" s="3">
        <v>7500</v>
      </c>
      <c r="N85" s="3" t="s">
        <v>42</v>
      </c>
      <c r="O85" s="3" t="s">
        <v>43</v>
      </c>
      <c r="P85" s="3" t="s">
        <v>24</v>
      </c>
    </row>
    <row r="86" spans="1:16" x14ac:dyDescent="0.25">
      <c r="A86" s="2" t="s">
        <v>235</v>
      </c>
      <c r="B86" s="2" t="s">
        <v>139</v>
      </c>
      <c r="C86" s="2" t="s">
        <v>47</v>
      </c>
      <c r="D86" s="2" t="s">
        <v>64</v>
      </c>
      <c r="E86" s="2" t="s">
        <v>93</v>
      </c>
      <c r="F86" s="2" t="s">
        <v>119</v>
      </c>
      <c r="G86" s="2">
        <v>18</v>
      </c>
      <c r="H86" s="2">
        <v>800</v>
      </c>
      <c r="I86" s="2">
        <v>5</v>
      </c>
      <c r="J86" s="2">
        <v>13680</v>
      </c>
      <c r="K86" s="2">
        <v>600</v>
      </c>
      <c r="L86" s="2">
        <v>10800</v>
      </c>
      <c r="M86" s="2">
        <v>2880</v>
      </c>
      <c r="N86" s="2" t="s">
        <v>22</v>
      </c>
      <c r="O86" s="2" t="s">
        <v>55</v>
      </c>
      <c r="P86" s="2" t="s">
        <v>86</v>
      </c>
    </row>
    <row r="87" spans="1:16" x14ac:dyDescent="0.25">
      <c r="A87" s="3" t="s">
        <v>236</v>
      </c>
      <c r="B87" s="3" t="s">
        <v>237</v>
      </c>
      <c r="C87" s="3" t="s">
        <v>104</v>
      </c>
      <c r="D87" s="3" t="s">
        <v>40</v>
      </c>
      <c r="E87" s="3" t="s">
        <v>20</v>
      </c>
      <c r="F87" s="3" t="s">
        <v>137</v>
      </c>
      <c r="G87" s="3">
        <v>19</v>
      </c>
      <c r="H87" s="3">
        <v>15000</v>
      </c>
      <c r="I87" s="3">
        <v>10</v>
      </c>
      <c r="J87" s="3">
        <v>256500</v>
      </c>
      <c r="K87" s="3">
        <v>10000</v>
      </c>
      <c r="L87" s="3">
        <v>190000</v>
      </c>
      <c r="M87" s="3">
        <v>66500</v>
      </c>
      <c r="N87" s="3" t="s">
        <v>42</v>
      </c>
      <c r="O87" s="3" t="s">
        <v>43</v>
      </c>
      <c r="P87" s="3" t="s">
        <v>44</v>
      </c>
    </row>
    <row r="88" spans="1:16" x14ac:dyDescent="0.25">
      <c r="A88" s="2" t="s">
        <v>238</v>
      </c>
      <c r="B88" s="2" t="s">
        <v>239</v>
      </c>
      <c r="C88" s="2" t="s">
        <v>77</v>
      </c>
      <c r="D88" s="2" t="s">
        <v>48</v>
      </c>
      <c r="E88" s="2" t="s">
        <v>53</v>
      </c>
      <c r="F88" s="2" t="s">
        <v>101</v>
      </c>
      <c r="G88" s="2">
        <v>16</v>
      </c>
      <c r="H88" s="2">
        <v>1200</v>
      </c>
      <c r="I88" s="2">
        <v>15</v>
      </c>
      <c r="J88" s="2">
        <v>16320</v>
      </c>
      <c r="K88" s="2">
        <v>700</v>
      </c>
      <c r="L88" s="2">
        <v>11200</v>
      </c>
      <c r="M88" s="2">
        <v>5120</v>
      </c>
      <c r="N88" s="2" t="s">
        <v>22</v>
      </c>
      <c r="O88" s="2" t="s">
        <v>30</v>
      </c>
      <c r="P88" s="2" t="s">
        <v>44</v>
      </c>
    </row>
    <row r="89" spans="1:16" x14ac:dyDescent="0.25">
      <c r="A89" s="3" t="s">
        <v>240</v>
      </c>
      <c r="B89" s="3" t="s">
        <v>241</v>
      </c>
      <c r="C89" s="3" t="s">
        <v>100</v>
      </c>
      <c r="D89" s="3" t="s">
        <v>48</v>
      </c>
      <c r="E89" s="3" t="s">
        <v>28</v>
      </c>
      <c r="F89" s="3" t="s">
        <v>29</v>
      </c>
      <c r="G89" s="3">
        <v>8</v>
      </c>
      <c r="H89" s="3">
        <v>25000</v>
      </c>
      <c r="I89" s="3">
        <v>25</v>
      </c>
      <c r="J89" s="3">
        <v>150000</v>
      </c>
      <c r="K89" s="3">
        <v>18000</v>
      </c>
      <c r="L89" s="3">
        <v>144000</v>
      </c>
      <c r="M89" s="3">
        <v>6000</v>
      </c>
      <c r="N89" s="3" t="s">
        <v>22</v>
      </c>
      <c r="O89" s="3" t="s">
        <v>23</v>
      </c>
      <c r="P89" s="3" t="s">
        <v>86</v>
      </c>
    </row>
    <row r="90" spans="1:16" x14ac:dyDescent="0.25">
      <c r="A90" s="2" t="s">
        <v>242</v>
      </c>
      <c r="B90" s="2" t="s">
        <v>243</v>
      </c>
      <c r="C90" s="2" t="s">
        <v>104</v>
      </c>
      <c r="D90" s="2" t="s">
        <v>40</v>
      </c>
      <c r="E90" s="2" t="s">
        <v>93</v>
      </c>
      <c r="F90" s="2" t="s">
        <v>94</v>
      </c>
      <c r="G90" s="2">
        <v>15</v>
      </c>
      <c r="H90" s="2">
        <v>1200</v>
      </c>
      <c r="I90" s="2">
        <v>10</v>
      </c>
      <c r="J90" s="2">
        <v>16200</v>
      </c>
      <c r="K90" s="2">
        <v>900</v>
      </c>
      <c r="L90" s="2">
        <v>13500</v>
      </c>
      <c r="M90" s="2">
        <v>2700</v>
      </c>
      <c r="N90" s="2" t="s">
        <v>22</v>
      </c>
      <c r="O90" s="2" t="s">
        <v>30</v>
      </c>
      <c r="P90" s="2" t="s">
        <v>44</v>
      </c>
    </row>
    <row r="91" spans="1:16" x14ac:dyDescent="0.25">
      <c r="A91" s="3" t="s">
        <v>244</v>
      </c>
      <c r="B91" s="3" t="s">
        <v>245</v>
      </c>
      <c r="C91" s="3" t="s">
        <v>18</v>
      </c>
      <c r="D91" s="3" t="s">
        <v>74</v>
      </c>
      <c r="E91" s="3" t="s">
        <v>20</v>
      </c>
      <c r="F91" s="3" t="s">
        <v>59</v>
      </c>
      <c r="G91" s="3">
        <v>11</v>
      </c>
      <c r="H91" s="3">
        <v>12000</v>
      </c>
      <c r="I91" s="3">
        <v>10</v>
      </c>
      <c r="J91" s="3">
        <v>118800</v>
      </c>
      <c r="K91" s="3">
        <v>8000</v>
      </c>
      <c r="L91" s="3">
        <v>88000</v>
      </c>
      <c r="M91" s="3">
        <v>30800</v>
      </c>
      <c r="N91" s="3" t="s">
        <v>22</v>
      </c>
      <c r="O91" s="3" t="s">
        <v>36</v>
      </c>
      <c r="P91" s="3" t="s">
        <v>44</v>
      </c>
    </row>
    <row r="92" spans="1:16" x14ac:dyDescent="0.25">
      <c r="A92" s="2" t="s">
        <v>246</v>
      </c>
      <c r="B92" s="2" t="s">
        <v>184</v>
      </c>
      <c r="C92" s="2" t="s">
        <v>122</v>
      </c>
      <c r="D92" s="2" t="s">
        <v>48</v>
      </c>
      <c r="E92" s="2" t="s">
        <v>93</v>
      </c>
      <c r="F92" s="2" t="s">
        <v>94</v>
      </c>
      <c r="G92" s="2">
        <v>2</v>
      </c>
      <c r="H92" s="2">
        <v>1200</v>
      </c>
      <c r="I92" s="2">
        <v>15</v>
      </c>
      <c r="J92" s="2">
        <v>2040</v>
      </c>
      <c r="K92" s="2">
        <v>900</v>
      </c>
      <c r="L92" s="2">
        <v>1800</v>
      </c>
      <c r="M92" s="2">
        <v>240</v>
      </c>
      <c r="N92" s="2" t="s">
        <v>22</v>
      </c>
      <c r="O92" s="2" t="s">
        <v>55</v>
      </c>
      <c r="P92" s="2" t="s">
        <v>44</v>
      </c>
    </row>
    <row r="93" spans="1:16" x14ac:dyDescent="0.25">
      <c r="A93" s="3" t="s">
        <v>247</v>
      </c>
      <c r="B93" s="3" t="s">
        <v>248</v>
      </c>
      <c r="C93" s="3" t="s">
        <v>77</v>
      </c>
      <c r="D93" s="3" t="s">
        <v>19</v>
      </c>
      <c r="E93" s="3" t="s">
        <v>53</v>
      </c>
      <c r="F93" s="3" t="s">
        <v>71</v>
      </c>
      <c r="G93" s="3">
        <v>14</v>
      </c>
      <c r="H93" s="3">
        <v>8000</v>
      </c>
      <c r="I93" s="3">
        <v>0</v>
      </c>
      <c r="J93" s="3">
        <v>112000</v>
      </c>
      <c r="K93" s="3">
        <v>5000</v>
      </c>
      <c r="L93" s="3">
        <v>70000</v>
      </c>
      <c r="M93" s="3">
        <v>42000</v>
      </c>
      <c r="N93" s="3" t="s">
        <v>22</v>
      </c>
      <c r="O93" s="3" t="s">
        <v>30</v>
      </c>
      <c r="P93" s="3" t="s">
        <v>44</v>
      </c>
    </row>
    <row r="94" spans="1:16" x14ac:dyDescent="0.25">
      <c r="A94" s="2" t="s">
        <v>249</v>
      </c>
      <c r="B94" s="2" t="s">
        <v>250</v>
      </c>
      <c r="C94" s="2" t="s">
        <v>122</v>
      </c>
      <c r="D94" s="2" t="s">
        <v>19</v>
      </c>
      <c r="E94" s="2" t="s">
        <v>34</v>
      </c>
      <c r="F94" s="2" t="s">
        <v>41</v>
      </c>
      <c r="G94" s="2">
        <v>18</v>
      </c>
      <c r="H94" s="2">
        <v>3000</v>
      </c>
      <c r="I94" s="2">
        <v>5</v>
      </c>
      <c r="J94" s="2">
        <v>51300</v>
      </c>
      <c r="K94" s="2">
        <v>1500</v>
      </c>
      <c r="L94" s="2">
        <v>27000</v>
      </c>
      <c r="M94" s="2">
        <v>24300</v>
      </c>
      <c r="N94" s="2" t="s">
        <v>42</v>
      </c>
      <c r="O94" s="2" t="s">
        <v>66</v>
      </c>
      <c r="P94" s="2" t="s">
        <v>86</v>
      </c>
    </row>
    <row r="95" spans="1:16" x14ac:dyDescent="0.25">
      <c r="A95" s="3" t="s">
        <v>251</v>
      </c>
      <c r="B95" s="3" t="s">
        <v>252</v>
      </c>
      <c r="C95" s="3" t="s">
        <v>18</v>
      </c>
      <c r="D95" s="3" t="s">
        <v>19</v>
      </c>
      <c r="E95" s="3" t="s">
        <v>53</v>
      </c>
      <c r="F95" s="3" t="s">
        <v>54</v>
      </c>
      <c r="G95" s="3">
        <v>6</v>
      </c>
      <c r="H95" s="3">
        <v>2000</v>
      </c>
      <c r="I95" s="3">
        <v>10</v>
      </c>
      <c r="J95" s="3">
        <v>10800</v>
      </c>
      <c r="K95" s="3">
        <v>1200</v>
      </c>
      <c r="L95" s="3">
        <v>7200</v>
      </c>
      <c r="M95" s="3">
        <v>3600</v>
      </c>
      <c r="N95" s="3" t="s">
        <v>22</v>
      </c>
      <c r="O95" s="3" t="s">
        <v>30</v>
      </c>
      <c r="P95" s="3" t="s">
        <v>44</v>
      </c>
    </row>
    <row r="96" spans="1:16" x14ac:dyDescent="0.25">
      <c r="A96" s="2" t="s">
        <v>253</v>
      </c>
      <c r="B96" s="2" t="s">
        <v>254</v>
      </c>
      <c r="C96" s="2" t="s">
        <v>18</v>
      </c>
      <c r="D96" s="2" t="s">
        <v>74</v>
      </c>
      <c r="E96" s="2" t="s">
        <v>28</v>
      </c>
      <c r="F96" s="2" t="s">
        <v>116</v>
      </c>
      <c r="G96" s="2">
        <v>16</v>
      </c>
      <c r="H96" s="2">
        <v>85000</v>
      </c>
      <c r="I96" s="2">
        <v>25</v>
      </c>
      <c r="J96" s="2">
        <v>1020000</v>
      </c>
      <c r="K96" s="2">
        <v>65000</v>
      </c>
      <c r="L96" s="2">
        <v>1040000</v>
      </c>
      <c r="M96" s="2">
        <v>-20000</v>
      </c>
      <c r="N96" s="2" t="s">
        <v>42</v>
      </c>
      <c r="O96" s="2" t="s">
        <v>30</v>
      </c>
      <c r="P96" s="2" t="s">
        <v>24</v>
      </c>
    </row>
    <row r="97" spans="1:16" x14ac:dyDescent="0.25">
      <c r="A97" s="3" t="s">
        <v>255</v>
      </c>
      <c r="B97" s="3" t="s">
        <v>256</v>
      </c>
      <c r="C97" s="3" t="s">
        <v>122</v>
      </c>
      <c r="D97" s="3" t="s">
        <v>74</v>
      </c>
      <c r="E97" s="3" t="s">
        <v>34</v>
      </c>
      <c r="F97" s="3" t="s">
        <v>35</v>
      </c>
      <c r="G97" s="3">
        <v>18</v>
      </c>
      <c r="H97" s="3">
        <v>6000</v>
      </c>
      <c r="I97" s="3">
        <v>5</v>
      </c>
      <c r="J97" s="3">
        <v>102600</v>
      </c>
      <c r="K97" s="3">
        <v>3500</v>
      </c>
      <c r="L97" s="3">
        <v>63000</v>
      </c>
      <c r="M97" s="3">
        <v>39600</v>
      </c>
      <c r="N97" s="3" t="s">
        <v>42</v>
      </c>
      <c r="O97" s="3" t="s">
        <v>36</v>
      </c>
      <c r="P97" s="3" t="s">
        <v>95</v>
      </c>
    </row>
    <row r="98" spans="1:16" x14ac:dyDescent="0.25">
      <c r="A98" s="2" t="s">
        <v>257</v>
      </c>
      <c r="B98" s="2" t="s">
        <v>258</v>
      </c>
      <c r="C98" s="2" t="s">
        <v>92</v>
      </c>
      <c r="D98" s="2" t="s">
        <v>159</v>
      </c>
      <c r="E98" s="2" t="s">
        <v>20</v>
      </c>
      <c r="F98" s="2" t="s">
        <v>59</v>
      </c>
      <c r="G98" s="2">
        <v>11</v>
      </c>
      <c r="H98" s="2">
        <v>12000</v>
      </c>
      <c r="I98" s="2">
        <v>20</v>
      </c>
      <c r="J98" s="2">
        <v>105600</v>
      </c>
      <c r="K98" s="2">
        <v>8000</v>
      </c>
      <c r="L98" s="2">
        <v>88000</v>
      </c>
      <c r="M98" s="2">
        <v>17600</v>
      </c>
      <c r="N98" s="2" t="s">
        <v>42</v>
      </c>
      <c r="O98" s="2" t="s">
        <v>43</v>
      </c>
      <c r="P98" s="2" t="s">
        <v>44</v>
      </c>
    </row>
    <row r="99" spans="1:16" x14ac:dyDescent="0.25">
      <c r="A99" s="3" t="s">
        <v>259</v>
      </c>
      <c r="B99" s="3" t="s">
        <v>260</v>
      </c>
      <c r="C99" s="3" t="s">
        <v>47</v>
      </c>
      <c r="D99" s="3" t="s">
        <v>74</v>
      </c>
      <c r="E99" s="3" t="s">
        <v>34</v>
      </c>
      <c r="F99" s="3" t="s">
        <v>35</v>
      </c>
      <c r="G99" s="3">
        <v>18</v>
      </c>
      <c r="H99" s="3">
        <v>6000</v>
      </c>
      <c r="I99" s="3">
        <v>15</v>
      </c>
      <c r="J99" s="3">
        <v>91800</v>
      </c>
      <c r="K99" s="3">
        <v>3500</v>
      </c>
      <c r="L99" s="3">
        <v>63000</v>
      </c>
      <c r="M99" s="3">
        <v>28800</v>
      </c>
      <c r="N99" s="3" t="s">
        <v>42</v>
      </c>
      <c r="O99" s="3" t="s">
        <v>55</v>
      </c>
      <c r="P99" s="3" t="s">
        <v>44</v>
      </c>
    </row>
    <row r="100" spans="1:16" x14ac:dyDescent="0.25">
      <c r="A100" s="2" t="s">
        <v>261</v>
      </c>
      <c r="B100" s="2" t="s">
        <v>134</v>
      </c>
      <c r="C100" s="2" t="s">
        <v>77</v>
      </c>
      <c r="D100" s="2" t="s">
        <v>74</v>
      </c>
      <c r="E100" s="2" t="s">
        <v>20</v>
      </c>
      <c r="F100" s="2" t="s">
        <v>21</v>
      </c>
      <c r="G100" s="2">
        <v>8</v>
      </c>
      <c r="H100" s="2">
        <v>3500</v>
      </c>
      <c r="I100" s="2">
        <v>20</v>
      </c>
      <c r="J100" s="2">
        <v>22400</v>
      </c>
      <c r="K100" s="2">
        <v>2000</v>
      </c>
      <c r="L100" s="2">
        <v>16000</v>
      </c>
      <c r="M100" s="2">
        <v>6400</v>
      </c>
      <c r="N100" s="2" t="s">
        <v>42</v>
      </c>
      <c r="O100" s="2" t="s">
        <v>36</v>
      </c>
      <c r="P100" s="2" t="s">
        <v>86</v>
      </c>
    </row>
    <row r="101" spans="1:16" x14ac:dyDescent="0.25">
      <c r="A101" s="3" t="s">
        <v>262</v>
      </c>
      <c r="B101" s="3" t="s">
        <v>263</v>
      </c>
      <c r="C101" s="3" t="s">
        <v>104</v>
      </c>
      <c r="D101" s="3" t="s">
        <v>52</v>
      </c>
      <c r="E101" s="3" t="s">
        <v>93</v>
      </c>
      <c r="F101" s="3" t="s">
        <v>109</v>
      </c>
      <c r="G101" s="3">
        <v>13</v>
      </c>
      <c r="H101" s="3">
        <v>700</v>
      </c>
      <c r="I101" s="3">
        <v>25</v>
      </c>
      <c r="J101" s="3">
        <v>6825</v>
      </c>
      <c r="K101" s="3">
        <v>500</v>
      </c>
      <c r="L101" s="3">
        <v>6500</v>
      </c>
      <c r="M101" s="3">
        <v>325</v>
      </c>
      <c r="N101" s="3" t="s">
        <v>22</v>
      </c>
      <c r="O101" s="3" t="s">
        <v>66</v>
      </c>
      <c r="P101" s="3" t="s">
        <v>95</v>
      </c>
    </row>
    <row r="102" spans="1:16" x14ac:dyDescent="0.25">
      <c r="A102" s="2" t="s">
        <v>264</v>
      </c>
      <c r="B102" s="2" t="s">
        <v>265</v>
      </c>
      <c r="C102" s="2" t="s">
        <v>63</v>
      </c>
      <c r="D102" s="2" t="s">
        <v>52</v>
      </c>
      <c r="E102" s="2" t="s">
        <v>28</v>
      </c>
      <c r="F102" s="2" t="s">
        <v>49</v>
      </c>
      <c r="G102" s="2">
        <v>4</v>
      </c>
      <c r="H102" s="2">
        <v>5000</v>
      </c>
      <c r="I102" s="2">
        <v>20</v>
      </c>
      <c r="J102" s="2">
        <v>16000</v>
      </c>
      <c r="K102" s="2">
        <v>3000</v>
      </c>
      <c r="L102" s="2">
        <v>12000</v>
      </c>
      <c r="M102" s="2">
        <v>4000</v>
      </c>
      <c r="N102" s="2" t="s">
        <v>42</v>
      </c>
      <c r="O102" s="2" t="s">
        <v>43</v>
      </c>
      <c r="P102" s="2" t="s">
        <v>24</v>
      </c>
    </row>
    <row r="103" spans="1:16" x14ac:dyDescent="0.25">
      <c r="A103" s="3" t="s">
        <v>266</v>
      </c>
      <c r="B103" s="3" t="s">
        <v>267</v>
      </c>
      <c r="C103" s="3" t="s">
        <v>92</v>
      </c>
      <c r="D103" s="3" t="s">
        <v>159</v>
      </c>
      <c r="E103" s="3" t="s">
        <v>93</v>
      </c>
      <c r="F103" s="3" t="s">
        <v>98</v>
      </c>
      <c r="G103" s="3">
        <v>11</v>
      </c>
      <c r="H103" s="3">
        <v>400</v>
      </c>
      <c r="I103" s="3">
        <v>20</v>
      </c>
      <c r="J103" s="3">
        <v>3520</v>
      </c>
      <c r="K103" s="3">
        <v>280</v>
      </c>
      <c r="L103" s="3">
        <v>3080</v>
      </c>
      <c r="M103" s="3">
        <v>440</v>
      </c>
      <c r="N103" s="3" t="s">
        <v>42</v>
      </c>
      <c r="O103" s="3" t="s">
        <v>23</v>
      </c>
      <c r="P103" s="3" t="s">
        <v>44</v>
      </c>
    </row>
    <row r="104" spans="1:16" x14ac:dyDescent="0.25">
      <c r="A104" s="2" t="s">
        <v>268</v>
      </c>
      <c r="B104" s="2" t="s">
        <v>269</v>
      </c>
      <c r="C104" s="2" t="s">
        <v>63</v>
      </c>
      <c r="D104" s="2" t="s">
        <v>27</v>
      </c>
      <c r="E104" s="2" t="s">
        <v>20</v>
      </c>
      <c r="F104" s="2" t="s">
        <v>59</v>
      </c>
      <c r="G104" s="2">
        <v>18</v>
      </c>
      <c r="H104" s="2">
        <v>12000</v>
      </c>
      <c r="I104" s="2">
        <v>0</v>
      </c>
      <c r="J104" s="2">
        <v>216000</v>
      </c>
      <c r="K104" s="2">
        <v>8000</v>
      </c>
      <c r="L104" s="2">
        <v>144000</v>
      </c>
      <c r="M104" s="2">
        <v>72000</v>
      </c>
      <c r="N104" s="2" t="s">
        <v>22</v>
      </c>
      <c r="O104" s="2" t="s">
        <v>36</v>
      </c>
      <c r="P104" s="2" t="s">
        <v>24</v>
      </c>
    </row>
    <row r="105" spans="1:16" x14ac:dyDescent="0.25">
      <c r="A105" s="3" t="s">
        <v>270</v>
      </c>
      <c r="B105" s="3" t="s">
        <v>271</v>
      </c>
      <c r="C105" s="3" t="s">
        <v>33</v>
      </c>
      <c r="D105" s="3" t="s">
        <v>159</v>
      </c>
      <c r="E105" s="3" t="s">
        <v>93</v>
      </c>
      <c r="F105" s="3" t="s">
        <v>119</v>
      </c>
      <c r="G105" s="3">
        <v>4</v>
      </c>
      <c r="H105" s="3">
        <v>800</v>
      </c>
      <c r="I105" s="3">
        <v>15</v>
      </c>
      <c r="J105" s="3">
        <v>2720</v>
      </c>
      <c r="K105" s="3">
        <v>600</v>
      </c>
      <c r="L105" s="3">
        <v>2400</v>
      </c>
      <c r="M105" s="3">
        <v>320</v>
      </c>
      <c r="N105" s="3" t="s">
        <v>22</v>
      </c>
      <c r="O105" s="3" t="s">
        <v>23</v>
      </c>
      <c r="P105" s="3" t="s">
        <v>44</v>
      </c>
    </row>
    <row r="106" spans="1:16" x14ac:dyDescent="0.25">
      <c r="A106" s="2" t="s">
        <v>272</v>
      </c>
      <c r="B106" s="2" t="s">
        <v>273</v>
      </c>
      <c r="C106" s="2" t="s">
        <v>104</v>
      </c>
      <c r="D106" s="2" t="s">
        <v>52</v>
      </c>
      <c r="E106" s="2" t="s">
        <v>28</v>
      </c>
      <c r="F106" s="2" t="s">
        <v>274</v>
      </c>
      <c r="G106" s="2">
        <v>12</v>
      </c>
      <c r="H106" s="2">
        <v>35000</v>
      </c>
      <c r="I106" s="2">
        <v>10</v>
      </c>
      <c r="J106" s="2">
        <v>378000</v>
      </c>
      <c r="K106" s="2">
        <v>26000</v>
      </c>
      <c r="L106" s="2">
        <v>312000</v>
      </c>
      <c r="M106" s="2">
        <v>66000</v>
      </c>
      <c r="N106" s="2" t="s">
        <v>42</v>
      </c>
      <c r="O106" s="2" t="s">
        <v>36</v>
      </c>
      <c r="P106" s="2" t="s">
        <v>44</v>
      </c>
    </row>
    <row r="107" spans="1:16" x14ac:dyDescent="0.25">
      <c r="A107" s="3" t="s">
        <v>275</v>
      </c>
      <c r="B107" s="3" t="s">
        <v>263</v>
      </c>
      <c r="C107" s="3" t="s">
        <v>47</v>
      </c>
      <c r="D107" s="3" t="s">
        <v>40</v>
      </c>
      <c r="E107" s="3" t="s">
        <v>34</v>
      </c>
      <c r="F107" s="3" t="s">
        <v>146</v>
      </c>
      <c r="G107" s="3">
        <v>3</v>
      </c>
      <c r="H107" s="3">
        <v>3500</v>
      </c>
      <c r="I107" s="3">
        <v>20</v>
      </c>
      <c r="J107" s="3">
        <v>8400</v>
      </c>
      <c r="K107" s="3">
        <v>1800</v>
      </c>
      <c r="L107" s="3">
        <v>5400</v>
      </c>
      <c r="M107" s="3">
        <v>3000</v>
      </c>
      <c r="N107" s="3" t="s">
        <v>42</v>
      </c>
      <c r="O107" s="3" t="s">
        <v>30</v>
      </c>
      <c r="P107" s="3" t="s">
        <v>24</v>
      </c>
    </row>
    <row r="108" spans="1:16" x14ac:dyDescent="0.25">
      <c r="A108" s="2" t="s">
        <v>276</v>
      </c>
      <c r="B108" s="2" t="s">
        <v>277</v>
      </c>
      <c r="C108" s="2" t="s">
        <v>47</v>
      </c>
      <c r="D108" s="2" t="s">
        <v>40</v>
      </c>
      <c r="E108" s="2" t="s">
        <v>34</v>
      </c>
      <c r="F108" s="2" t="s">
        <v>35</v>
      </c>
      <c r="G108" s="2">
        <v>9</v>
      </c>
      <c r="H108" s="2">
        <v>6000</v>
      </c>
      <c r="I108" s="2">
        <v>15</v>
      </c>
      <c r="J108" s="2">
        <v>45900</v>
      </c>
      <c r="K108" s="2">
        <v>3500</v>
      </c>
      <c r="L108" s="2">
        <v>31500</v>
      </c>
      <c r="M108" s="2">
        <v>14400</v>
      </c>
      <c r="N108" s="2" t="s">
        <v>42</v>
      </c>
      <c r="O108" s="2" t="s">
        <v>23</v>
      </c>
      <c r="P108" s="2" t="s">
        <v>44</v>
      </c>
    </row>
    <row r="109" spans="1:16" x14ac:dyDescent="0.25">
      <c r="A109" s="3" t="s">
        <v>278</v>
      </c>
      <c r="B109" s="3" t="s">
        <v>279</v>
      </c>
      <c r="C109" s="3" t="s">
        <v>39</v>
      </c>
      <c r="D109" s="3" t="s">
        <v>40</v>
      </c>
      <c r="E109" s="3" t="s">
        <v>28</v>
      </c>
      <c r="F109" s="3" t="s">
        <v>49</v>
      </c>
      <c r="G109" s="3">
        <v>12</v>
      </c>
      <c r="H109" s="3">
        <v>5000</v>
      </c>
      <c r="I109" s="3">
        <v>20</v>
      </c>
      <c r="J109" s="3">
        <v>48000</v>
      </c>
      <c r="K109" s="3">
        <v>3000</v>
      </c>
      <c r="L109" s="3">
        <v>36000</v>
      </c>
      <c r="M109" s="3">
        <v>12000</v>
      </c>
      <c r="N109" s="3" t="s">
        <v>42</v>
      </c>
      <c r="O109" s="3" t="s">
        <v>23</v>
      </c>
      <c r="P109" s="3" t="s">
        <v>95</v>
      </c>
    </row>
    <row r="110" spans="1:16" x14ac:dyDescent="0.25">
      <c r="A110" s="2" t="s">
        <v>280</v>
      </c>
      <c r="B110" s="2" t="s">
        <v>97</v>
      </c>
      <c r="C110" s="2" t="s">
        <v>39</v>
      </c>
      <c r="D110" s="2" t="s">
        <v>74</v>
      </c>
      <c r="E110" s="2" t="s">
        <v>20</v>
      </c>
      <c r="F110" s="2" t="s">
        <v>21</v>
      </c>
      <c r="G110" s="2">
        <v>13</v>
      </c>
      <c r="H110" s="2">
        <v>3500</v>
      </c>
      <c r="I110" s="2">
        <v>15</v>
      </c>
      <c r="J110" s="2">
        <v>38675</v>
      </c>
      <c r="K110" s="2">
        <v>2000</v>
      </c>
      <c r="L110" s="2">
        <v>26000</v>
      </c>
      <c r="M110" s="2">
        <v>12675</v>
      </c>
      <c r="N110" s="2" t="s">
        <v>22</v>
      </c>
      <c r="O110" s="2" t="s">
        <v>36</v>
      </c>
      <c r="P110" s="2" t="s">
        <v>44</v>
      </c>
    </row>
    <row r="111" spans="1:16" x14ac:dyDescent="0.25">
      <c r="A111" s="3" t="s">
        <v>281</v>
      </c>
      <c r="B111" s="3" t="s">
        <v>282</v>
      </c>
      <c r="C111" s="3" t="s">
        <v>47</v>
      </c>
      <c r="D111" s="3" t="s">
        <v>48</v>
      </c>
      <c r="E111" s="3" t="s">
        <v>20</v>
      </c>
      <c r="F111" s="3" t="s">
        <v>65</v>
      </c>
      <c r="G111" s="3">
        <v>13</v>
      </c>
      <c r="H111" s="3">
        <v>18000</v>
      </c>
      <c r="I111" s="3">
        <v>10</v>
      </c>
      <c r="J111" s="3">
        <v>210600</v>
      </c>
      <c r="K111" s="3">
        <v>12000</v>
      </c>
      <c r="L111" s="3">
        <v>156000</v>
      </c>
      <c r="M111" s="3">
        <v>54600</v>
      </c>
      <c r="N111" s="3" t="s">
        <v>22</v>
      </c>
      <c r="O111" s="3" t="s">
        <v>30</v>
      </c>
      <c r="P111" s="3" t="s">
        <v>86</v>
      </c>
    </row>
    <row r="112" spans="1:16" x14ac:dyDescent="0.25">
      <c r="A112" s="2" t="s">
        <v>283</v>
      </c>
      <c r="B112" s="2" t="s">
        <v>124</v>
      </c>
      <c r="C112" s="2" t="s">
        <v>47</v>
      </c>
      <c r="D112" s="2" t="s">
        <v>74</v>
      </c>
      <c r="E112" s="2" t="s">
        <v>20</v>
      </c>
      <c r="F112" s="2" t="s">
        <v>21</v>
      </c>
      <c r="G112" s="2">
        <v>20</v>
      </c>
      <c r="H112" s="2">
        <v>3500</v>
      </c>
      <c r="I112" s="2">
        <v>10</v>
      </c>
      <c r="J112" s="2">
        <v>63000</v>
      </c>
      <c r="K112" s="2">
        <v>2000</v>
      </c>
      <c r="L112" s="2">
        <v>40000</v>
      </c>
      <c r="M112" s="2">
        <v>23000</v>
      </c>
      <c r="N112" s="2" t="s">
        <v>22</v>
      </c>
      <c r="O112" s="2" t="s">
        <v>23</v>
      </c>
      <c r="P112" s="2" t="s">
        <v>44</v>
      </c>
    </row>
    <row r="113" spans="1:16" x14ac:dyDescent="0.25">
      <c r="A113" s="3" t="s">
        <v>284</v>
      </c>
      <c r="B113" s="3" t="s">
        <v>285</v>
      </c>
      <c r="C113" s="3" t="s">
        <v>92</v>
      </c>
      <c r="D113" s="3" t="s">
        <v>159</v>
      </c>
      <c r="E113" s="3" t="s">
        <v>28</v>
      </c>
      <c r="F113" s="3" t="s">
        <v>274</v>
      </c>
      <c r="G113" s="3">
        <v>15</v>
      </c>
      <c r="H113" s="3">
        <v>35000</v>
      </c>
      <c r="I113" s="3">
        <v>0</v>
      </c>
      <c r="J113" s="3">
        <v>525000</v>
      </c>
      <c r="K113" s="3">
        <v>26000</v>
      </c>
      <c r="L113" s="3">
        <v>390000</v>
      </c>
      <c r="M113" s="3">
        <v>135000</v>
      </c>
      <c r="N113" s="3" t="s">
        <v>42</v>
      </c>
      <c r="O113" s="3" t="s">
        <v>23</v>
      </c>
      <c r="P113" s="3" t="s">
        <v>44</v>
      </c>
    </row>
    <row r="114" spans="1:16" x14ac:dyDescent="0.25">
      <c r="A114" s="2" t="s">
        <v>286</v>
      </c>
      <c r="B114" s="2" t="s">
        <v>223</v>
      </c>
      <c r="C114" s="2" t="s">
        <v>100</v>
      </c>
      <c r="D114" s="2" t="s">
        <v>27</v>
      </c>
      <c r="E114" s="2" t="s">
        <v>34</v>
      </c>
      <c r="F114" s="2" t="s">
        <v>146</v>
      </c>
      <c r="G114" s="2">
        <v>5</v>
      </c>
      <c r="H114" s="2">
        <v>3500</v>
      </c>
      <c r="I114" s="2">
        <v>20</v>
      </c>
      <c r="J114" s="2">
        <v>14000</v>
      </c>
      <c r="K114" s="2">
        <v>1800</v>
      </c>
      <c r="L114" s="2">
        <v>9000</v>
      </c>
      <c r="M114" s="2">
        <v>5000</v>
      </c>
      <c r="N114" s="2" t="s">
        <v>42</v>
      </c>
      <c r="O114" s="2" t="s">
        <v>30</v>
      </c>
      <c r="P114" s="2" t="s">
        <v>44</v>
      </c>
    </row>
    <row r="115" spans="1:16" x14ac:dyDescent="0.25">
      <c r="A115" s="3" t="s">
        <v>287</v>
      </c>
      <c r="B115" s="3" t="s">
        <v>288</v>
      </c>
      <c r="C115" s="3" t="s">
        <v>92</v>
      </c>
      <c r="D115" s="3" t="s">
        <v>48</v>
      </c>
      <c r="E115" s="3" t="s">
        <v>93</v>
      </c>
      <c r="F115" s="3" t="s">
        <v>98</v>
      </c>
      <c r="G115" s="3">
        <v>11</v>
      </c>
      <c r="H115" s="3">
        <v>400</v>
      </c>
      <c r="I115" s="3">
        <v>0</v>
      </c>
      <c r="J115" s="3">
        <v>4400</v>
      </c>
      <c r="K115" s="3">
        <v>280</v>
      </c>
      <c r="L115" s="3">
        <v>3080</v>
      </c>
      <c r="M115" s="3">
        <v>1320</v>
      </c>
      <c r="N115" s="3" t="s">
        <v>42</v>
      </c>
      <c r="O115" s="3" t="s">
        <v>43</v>
      </c>
      <c r="P115" s="3" t="s">
        <v>44</v>
      </c>
    </row>
    <row r="116" spans="1:16" x14ac:dyDescent="0.25">
      <c r="A116" s="2" t="s">
        <v>289</v>
      </c>
      <c r="B116" s="2" t="s">
        <v>254</v>
      </c>
      <c r="C116" s="2" t="s">
        <v>77</v>
      </c>
      <c r="D116" s="2" t="s">
        <v>52</v>
      </c>
      <c r="E116" s="2" t="s">
        <v>28</v>
      </c>
      <c r="F116" s="2" t="s">
        <v>49</v>
      </c>
      <c r="G116" s="2">
        <v>1</v>
      </c>
      <c r="H116" s="2">
        <v>5000</v>
      </c>
      <c r="I116" s="2">
        <v>10</v>
      </c>
      <c r="J116" s="2">
        <v>4500</v>
      </c>
      <c r="K116" s="2">
        <v>3000</v>
      </c>
      <c r="L116" s="2">
        <v>3000</v>
      </c>
      <c r="M116" s="2">
        <v>1500</v>
      </c>
      <c r="N116" s="2" t="s">
        <v>22</v>
      </c>
      <c r="O116" s="2" t="s">
        <v>66</v>
      </c>
      <c r="P116" s="2" t="s">
        <v>44</v>
      </c>
    </row>
    <row r="117" spans="1:16" x14ac:dyDescent="0.25">
      <c r="A117" s="3" t="s">
        <v>290</v>
      </c>
      <c r="B117" s="3" t="s">
        <v>291</v>
      </c>
      <c r="C117" s="3" t="s">
        <v>39</v>
      </c>
      <c r="D117" s="3" t="s">
        <v>27</v>
      </c>
      <c r="E117" s="3" t="s">
        <v>20</v>
      </c>
      <c r="F117" s="3" t="s">
        <v>65</v>
      </c>
      <c r="G117" s="3">
        <v>8</v>
      </c>
      <c r="H117" s="3">
        <v>18000</v>
      </c>
      <c r="I117" s="3">
        <v>15</v>
      </c>
      <c r="J117" s="3">
        <v>122400</v>
      </c>
      <c r="K117" s="3">
        <v>12000</v>
      </c>
      <c r="L117" s="3">
        <v>96000</v>
      </c>
      <c r="M117" s="3">
        <v>26400</v>
      </c>
      <c r="N117" s="3" t="s">
        <v>22</v>
      </c>
      <c r="O117" s="3" t="s">
        <v>30</v>
      </c>
      <c r="P117" s="3" t="s">
        <v>86</v>
      </c>
    </row>
    <row r="118" spans="1:16" x14ac:dyDescent="0.25">
      <c r="A118" s="2" t="s">
        <v>292</v>
      </c>
      <c r="B118" s="2" t="s">
        <v>32</v>
      </c>
      <c r="C118" s="2" t="s">
        <v>100</v>
      </c>
      <c r="D118" s="2" t="s">
        <v>64</v>
      </c>
      <c r="E118" s="2" t="s">
        <v>28</v>
      </c>
      <c r="F118" s="2" t="s">
        <v>49</v>
      </c>
      <c r="G118" s="2">
        <v>10</v>
      </c>
      <c r="H118" s="2">
        <v>5000</v>
      </c>
      <c r="I118" s="2">
        <v>25</v>
      </c>
      <c r="J118" s="2">
        <v>37500</v>
      </c>
      <c r="K118" s="2">
        <v>3000</v>
      </c>
      <c r="L118" s="2">
        <v>30000</v>
      </c>
      <c r="M118" s="2">
        <v>7500</v>
      </c>
      <c r="N118" s="2" t="s">
        <v>42</v>
      </c>
      <c r="O118" s="2" t="s">
        <v>43</v>
      </c>
      <c r="P118" s="2" t="s">
        <v>44</v>
      </c>
    </row>
    <row r="119" spans="1:16" x14ac:dyDescent="0.25">
      <c r="A119" s="3" t="s">
        <v>293</v>
      </c>
      <c r="B119" s="3" t="s">
        <v>294</v>
      </c>
      <c r="C119" s="3" t="s">
        <v>39</v>
      </c>
      <c r="D119" s="3" t="s">
        <v>74</v>
      </c>
      <c r="E119" s="3" t="s">
        <v>28</v>
      </c>
      <c r="F119" s="3" t="s">
        <v>29</v>
      </c>
      <c r="G119" s="3">
        <v>8</v>
      </c>
      <c r="H119" s="3">
        <v>25000</v>
      </c>
      <c r="I119" s="3">
        <v>20</v>
      </c>
      <c r="J119" s="3">
        <v>160000</v>
      </c>
      <c r="K119" s="3">
        <v>18000</v>
      </c>
      <c r="L119" s="3">
        <v>144000</v>
      </c>
      <c r="M119" s="3">
        <v>16000</v>
      </c>
      <c r="N119" s="3" t="s">
        <v>22</v>
      </c>
      <c r="O119" s="3" t="s">
        <v>66</v>
      </c>
      <c r="P119" s="3" t="s">
        <v>44</v>
      </c>
    </row>
    <row r="120" spans="1:16" x14ac:dyDescent="0.25">
      <c r="A120" s="2" t="s">
        <v>295</v>
      </c>
      <c r="B120" s="2" t="s">
        <v>296</v>
      </c>
      <c r="C120" s="2" t="s">
        <v>63</v>
      </c>
      <c r="D120" s="2" t="s">
        <v>27</v>
      </c>
      <c r="E120" s="2" t="s">
        <v>53</v>
      </c>
      <c r="F120" s="2" t="s">
        <v>54</v>
      </c>
      <c r="G120" s="2">
        <v>14</v>
      </c>
      <c r="H120" s="2">
        <v>2000</v>
      </c>
      <c r="I120" s="2">
        <v>25</v>
      </c>
      <c r="J120" s="2">
        <v>21000</v>
      </c>
      <c r="K120" s="2">
        <v>1200</v>
      </c>
      <c r="L120" s="2">
        <v>16800</v>
      </c>
      <c r="M120" s="2">
        <v>4200</v>
      </c>
      <c r="N120" s="2" t="s">
        <v>22</v>
      </c>
      <c r="O120" s="2" t="s">
        <v>66</v>
      </c>
      <c r="P120" s="2" t="s">
        <v>24</v>
      </c>
    </row>
    <row r="121" spans="1:16" x14ac:dyDescent="0.25">
      <c r="A121" s="3" t="s">
        <v>297</v>
      </c>
      <c r="B121" s="3" t="s">
        <v>298</v>
      </c>
      <c r="C121" s="3" t="s">
        <v>104</v>
      </c>
      <c r="D121" s="3" t="s">
        <v>52</v>
      </c>
      <c r="E121" s="3" t="s">
        <v>34</v>
      </c>
      <c r="F121" s="3" t="s">
        <v>35</v>
      </c>
      <c r="G121" s="3">
        <v>15</v>
      </c>
      <c r="H121" s="3">
        <v>6000</v>
      </c>
      <c r="I121" s="3">
        <v>5</v>
      </c>
      <c r="J121" s="3">
        <v>85500</v>
      </c>
      <c r="K121" s="3">
        <v>3500</v>
      </c>
      <c r="L121" s="3">
        <v>52500</v>
      </c>
      <c r="M121" s="3">
        <v>33000</v>
      </c>
      <c r="N121" s="3" t="s">
        <v>42</v>
      </c>
      <c r="O121" s="3" t="s">
        <v>43</v>
      </c>
      <c r="P121" s="3" t="s">
        <v>56</v>
      </c>
    </row>
    <row r="122" spans="1:16" x14ac:dyDescent="0.25">
      <c r="A122" s="2" t="s">
        <v>299</v>
      </c>
      <c r="B122" s="2" t="s">
        <v>200</v>
      </c>
      <c r="C122" s="2" t="s">
        <v>63</v>
      </c>
      <c r="D122" s="2" t="s">
        <v>52</v>
      </c>
      <c r="E122" s="2" t="s">
        <v>28</v>
      </c>
      <c r="F122" s="2" t="s">
        <v>49</v>
      </c>
      <c r="G122" s="2">
        <v>9</v>
      </c>
      <c r="H122" s="2">
        <v>5000</v>
      </c>
      <c r="I122" s="2">
        <v>5</v>
      </c>
      <c r="J122" s="2">
        <v>42750</v>
      </c>
      <c r="K122" s="2">
        <v>3000</v>
      </c>
      <c r="L122" s="2">
        <v>27000</v>
      </c>
      <c r="M122" s="2">
        <v>15750</v>
      </c>
      <c r="N122" s="2" t="s">
        <v>22</v>
      </c>
      <c r="O122" s="2" t="s">
        <v>66</v>
      </c>
      <c r="P122" s="2" t="s">
        <v>44</v>
      </c>
    </row>
    <row r="123" spans="1:16" x14ac:dyDescent="0.25">
      <c r="A123" s="3" t="s">
        <v>300</v>
      </c>
      <c r="B123" s="3" t="s">
        <v>68</v>
      </c>
      <c r="C123" s="3" t="s">
        <v>47</v>
      </c>
      <c r="D123" s="3" t="s">
        <v>19</v>
      </c>
      <c r="E123" s="3" t="s">
        <v>28</v>
      </c>
      <c r="F123" s="3" t="s">
        <v>274</v>
      </c>
      <c r="G123" s="3">
        <v>8</v>
      </c>
      <c r="H123" s="3">
        <v>35000</v>
      </c>
      <c r="I123" s="3">
        <v>5</v>
      </c>
      <c r="J123" s="3">
        <v>266000</v>
      </c>
      <c r="K123" s="3">
        <v>26000</v>
      </c>
      <c r="L123" s="3">
        <v>208000</v>
      </c>
      <c r="M123" s="3">
        <v>58000</v>
      </c>
      <c r="N123" s="3" t="s">
        <v>22</v>
      </c>
      <c r="O123" s="3" t="s">
        <v>43</v>
      </c>
      <c r="P123" s="3" t="s">
        <v>86</v>
      </c>
    </row>
    <row r="124" spans="1:16" x14ac:dyDescent="0.25">
      <c r="A124" s="2" t="s">
        <v>301</v>
      </c>
      <c r="B124" s="2" t="s">
        <v>136</v>
      </c>
      <c r="C124" s="2" t="s">
        <v>33</v>
      </c>
      <c r="D124" s="2" t="s">
        <v>64</v>
      </c>
      <c r="E124" s="2" t="s">
        <v>34</v>
      </c>
      <c r="F124" s="2" t="s">
        <v>41</v>
      </c>
      <c r="G124" s="2">
        <v>5</v>
      </c>
      <c r="H124" s="2">
        <v>3000</v>
      </c>
      <c r="I124" s="2">
        <v>20</v>
      </c>
      <c r="J124" s="2">
        <v>12000</v>
      </c>
      <c r="K124" s="2">
        <v>1500</v>
      </c>
      <c r="L124" s="2">
        <v>7500</v>
      </c>
      <c r="M124" s="2">
        <v>4500</v>
      </c>
      <c r="N124" s="2" t="s">
        <v>22</v>
      </c>
      <c r="O124" s="2" t="s">
        <v>55</v>
      </c>
      <c r="P124" s="2" t="s">
        <v>86</v>
      </c>
    </row>
    <row r="125" spans="1:16" x14ac:dyDescent="0.25">
      <c r="A125" s="3" t="s">
        <v>302</v>
      </c>
      <c r="B125" s="3" t="s">
        <v>303</v>
      </c>
      <c r="C125" s="3" t="s">
        <v>92</v>
      </c>
      <c r="D125" s="3" t="s">
        <v>48</v>
      </c>
      <c r="E125" s="3" t="s">
        <v>34</v>
      </c>
      <c r="F125" s="3" t="s">
        <v>196</v>
      </c>
      <c r="G125" s="3">
        <v>1</v>
      </c>
      <c r="H125" s="3">
        <v>2500</v>
      </c>
      <c r="I125" s="3">
        <v>5</v>
      </c>
      <c r="J125" s="3">
        <v>2375</v>
      </c>
      <c r="K125" s="3">
        <v>1200</v>
      </c>
      <c r="L125" s="3">
        <v>1200</v>
      </c>
      <c r="M125" s="3">
        <v>1175</v>
      </c>
      <c r="N125" s="3" t="s">
        <v>22</v>
      </c>
      <c r="O125" s="3" t="s">
        <v>55</v>
      </c>
      <c r="P125" s="3" t="s">
        <v>86</v>
      </c>
    </row>
    <row r="126" spans="1:16" x14ac:dyDescent="0.25">
      <c r="A126" s="2" t="s">
        <v>304</v>
      </c>
      <c r="B126" s="2" t="s">
        <v>148</v>
      </c>
      <c r="C126" s="2" t="s">
        <v>47</v>
      </c>
      <c r="D126" s="2" t="s">
        <v>52</v>
      </c>
      <c r="E126" s="2" t="s">
        <v>28</v>
      </c>
      <c r="F126" s="2" t="s">
        <v>116</v>
      </c>
      <c r="G126" s="2">
        <v>9</v>
      </c>
      <c r="H126" s="2">
        <v>85000</v>
      </c>
      <c r="I126" s="2">
        <v>0</v>
      </c>
      <c r="J126" s="2">
        <v>765000</v>
      </c>
      <c r="K126" s="2">
        <v>65000</v>
      </c>
      <c r="L126" s="2">
        <v>585000</v>
      </c>
      <c r="M126" s="2">
        <v>180000</v>
      </c>
      <c r="N126" s="2" t="s">
        <v>22</v>
      </c>
      <c r="O126" s="2" t="s">
        <v>23</v>
      </c>
      <c r="P126" s="2" t="s">
        <v>44</v>
      </c>
    </row>
    <row r="127" spans="1:16" x14ac:dyDescent="0.25">
      <c r="A127" s="3" t="s">
        <v>305</v>
      </c>
      <c r="B127" s="3" t="s">
        <v>306</v>
      </c>
      <c r="C127" s="3" t="s">
        <v>18</v>
      </c>
      <c r="D127" s="3" t="s">
        <v>74</v>
      </c>
      <c r="E127" s="3" t="s">
        <v>93</v>
      </c>
      <c r="F127" s="3" t="s">
        <v>98</v>
      </c>
      <c r="G127" s="3">
        <v>17</v>
      </c>
      <c r="H127" s="3">
        <v>400</v>
      </c>
      <c r="I127" s="3">
        <v>20</v>
      </c>
      <c r="J127" s="3">
        <v>5440</v>
      </c>
      <c r="K127" s="3">
        <v>280</v>
      </c>
      <c r="L127" s="3">
        <v>4760</v>
      </c>
      <c r="M127" s="3">
        <v>680</v>
      </c>
      <c r="N127" s="3" t="s">
        <v>22</v>
      </c>
      <c r="O127" s="3" t="s">
        <v>66</v>
      </c>
      <c r="P127" s="3" t="s">
        <v>44</v>
      </c>
    </row>
    <row r="128" spans="1:16" x14ac:dyDescent="0.25">
      <c r="A128" s="2" t="s">
        <v>307</v>
      </c>
      <c r="B128" s="2" t="s">
        <v>308</v>
      </c>
      <c r="C128" s="2" t="s">
        <v>104</v>
      </c>
      <c r="D128" s="2" t="s">
        <v>48</v>
      </c>
      <c r="E128" s="2" t="s">
        <v>93</v>
      </c>
      <c r="F128" s="2" t="s">
        <v>119</v>
      </c>
      <c r="G128" s="2">
        <v>2</v>
      </c>
      <c r="H128" s="2">
        <v>800</v>
      </c>
      <c r="I128" s="2">
        <v>15</v>
      </c>
      <c r="J128" s="2">
        <v>1360</v>
      </c>
      <c r="K128" s="2">
        <v>600</v>
      </c>
      <c r="L128" s="2">
        <v>1200</v>
      </c>
      <c r="M128" s="2">
        <v>160</v>
      </c>
      <c r="N128" s="2" t="s">
        <v>42</v>
      </c>
      <c r="O128" s="2" t="s">
        <v>66</v>
      </c>
      <c r="P128" s="2" t="s">
        <v>24</v>
      </c>
    </row>
    <row r="129" spans="1:16" x14ac:dyDescent="0.25">
      <c r="A129" s="3" t="s">
        <v>309</v>
      </c>
      <c r="B129" s="3" t="s">
        <v>245</v>
      </c>
      <c r="C129" s="3" t="s">
        <v>122</v>
      </c>
      <c r="D129" s="3" t="s">
        <v>159</v>
      </c>
      <c r="E129" s="3" t="s">
        <v>28</v>
      </c>
      <c r="F129" s="3" t="s">
        <v>274</v>
      </c>
      <c r="G129" s="3">
        <v>20</v>
      </c>
      <c r="H129" s="3">
        <v>35000</v>
      </c>
      <c r="I129" s="3">
        <v>5</v>
      </c>
      <c r="J129" s="3">
        <v>665000</v>
      </c>
      <c r="K129" s="3">
        <v>26000</v>
      </c>
      <c r="L129" s="3">
        <v>520000</v>
      </c>
      <c r="M129" s="3">
        <v>145000</v>
      </c>
      <c r="N129" s="3" t="s">
        <v>22</v>
      </c>
      <c r="O129" s="3" t="s">
        <v>36</v>
      </c>
      <c r="P129" s="3" t="s">
        <v>44</v>
      </c>
    </row>
    <row r="130" spans="1:16" x14ac:dyDescent="0.25">
      <c r="A130" s="2" t="s">
        <v>310</v>
      </c>
      <c r="B130" s="2" t="s">
        <v>311</v>
      </c>
      <c r="C130" s="2" t="s">
        <v>47</v>
      </c>
      <c r="D130" s="2" t="s">
        <v>52</v>
      </c>
      <c r="E130" s="2" t="s">
        <v>93</v>
      </c>
      <c r="F130" s="2" t="s">
        <v>94</v>
      </c>
      <c r="G130" s="2">
        <v>17</v>
      </c>
      <c r="H130" s="2">
        <v>1200</v>
      </c>
      <c r="I130" s="2">
        <v>10</v>
      </c>
      <c r="J130" s="2">
        <v>18360</v>
      </c>
      <c r="K130" s="2">
        <v>900</v>
      </c>
      <c r="L130" s="2">
        <v>15300</v>
      </c>
      <c r="M130" s="2">
        <v>3060</v>
      </c>
      <c r="N130" s="2" t="s">
        <v>42</v>
      </c>
      <c r="O130" s="2" t="s">
        <v>30</v>
      </c>
      <c r="P130" s="2" t="s">
        <v>24</v>
      </c>
    </row>
    <row r="131" spans="1:16" x14ac:dyDescent="0.25">
      <c r="A131" s="3" t="s">
        <v>312</v>
      </c>
      <c r="B131" s="3" t="s">
        <v>313</v>
      </c>
      <c r="C131" s="3" t="s">
        <v>18</v>
      </c>
      <c r="D131" s="3" t="s">
        <v>64</v>
      </c>
      <c r="E131" s="3" t="s">
        <v>93</v>
      </c>
      <c r="F131" s="3" t="s">
        <v>109</v>
      </c>
      <c r="G131" s="3">
        <v>8</v>
      </c>
      <c r="H131" s="3">
        <v>700</v>
      </c>
      <c r="I131" s="3">
        <v>15</v>
      </c>
      <c r="J131" s="3">
        <v>4760</v>
      </c>
      <c r="K131" s="3">
        <v>500</v>
      </c>
      <c r="L131" s="3">
        <v>4000</v>
      </c>
      <c r="M131" s="3">
        <v>760</v>
      </c>
      <c r="N131" s="3" t="s">
        <v>42</v>
      </c>
      <c r="O131" s="3" t="s">
        <v>66</v>
      </c>
      <c r="P131" s="3" t="s">
        <v>44</v>
      </c>
    </row>
    <row r="132" spans="1:16" x14ac:dyDescent="0.25">
      <c r="A132" s="2" t="s">
        <v>314</v>
      </c>
      <c r="B132" s="2" t="s">
        <v>315</v>
      </c>
      <c r="C132" s="2" t="s">
        <v>100</v>
      </c>
      <c r="D132" s="2" t="s">
        <v>27</v>
      </c>
      <c r="E132" s="2" t="s">
        <v>20</v>
      </c>
      <c r="F132" s="2" t="s">
        <v>182</v>
      </c>
      <c r="G132" s="2">
        <v>12</v>
      </c>
      <c r="H132" s="2">
        <v>5000</v>
      </c>
      <c r="I132" s="2">
        <v>5</v>
      </c>
      <c r="J132" s="2">
        <v>57000</v>
      </c>
      <c r="K132" s="2">
        <v>3000</v>
      </c>
      <c r="L132" s="2">
        <v>36000</v>
      </c>
      <c r="M132" s="2">
        <v>21000</v>
      </c>
      <c r="N132" s="2" t="s">
        <v>42</v>
      </c>
      <c r="O132" s="2" t="s">
        <v>43</v>
      </c>
      <c r="P132" s="2" t="s">
        <v>44</v>
      </c>
    </row>
    <row r="133" spans="1:16" x14ac:dyDescent="0.25">
      <c r="A133" s="3" t="s">
        <v>316</v>
      </c>
      <c r="B133" s="3" t="s">
        <v>317</v>
      </c>
      <c r="C133" s="3" t="s">
        <v>18</v>
      </c>
      <c r="D133" s="3" t="s">
        <v>27</v>
      </c>
      <c r="E133" s="3" t="s">
        <v>28</v>
      </c>
      <c r="F133" s="3" t="s">
        <v>274</v>
      </c>
      <c r="G133" s="3">
        <v>5</v>
      </c>
      <c r="H133" s="3">
        <v>35000</v>
      </c>
      <c r="I133" s="3">
        <v>20</v>
      </c>
      <c r="J133" s="3">
        <v>140000</v>
      </c>
      <c r="K133" s="3">
        <v>26000</v>
      </c>
      <c r="L133" s="3">
        <v>130000</v>
      </c>
      <c r="M133" s="3">
        <v>10000</v>
      </c>
      <c r="N133" s="3" t="s">
        <v>22</v>
      </c>
      <c r="O133" s="3" t="s">
        <v>30</v>
      </c>
      <c r="P133" s="3" t="s">
        <v>95</v>
      </c>
    </row>
    <row r="134" spans="1:16" x14ac:dyDescent="0.25">
      <c r="A134" s="2" t="s">
        <v>318</v>
      </c>
      <c r="B134" s="2" t="s">
        <v>32</v>
      </c>
      <c r="C134" s="2" t="s">
        <v>100</v>
      </c>
      <c r="D134" s="2" t="s">
        <v>159</v>
      </c>
      <c r="E134" s="2" t="s">
        <v>93</v>
      </c>
      <c r="F134" s="2" t="s">
        <v>98</v>
      </c>
      <c r="G134" s="2">
        <v>14</v>
      </c>
      <c r="H134" s="2">
        <v>400</v>
      </c>
      <c r="I134" s="2">
        <v>25</v>
      </c>
      <c r="J134" s="2">
        <v>4200</v>
      </c>
      <c r="K134" s="2">
        <v>280</v>
      </c>
      <c r="L134" s="2">
        <v>3920</v>
      </c>
      <c r="M134" s="2">
        <v>280</v>
      </c>
      <c r="N134" s="2" t="s">
        <v>22</v>
      </c>
      <c r="O134" s="2" t="s">
        <v>55</v>
      </c>
      <c r="P134" s="2" t="s">
        <v>24</v>
      </c>
    </row>
    <row r="135" spans="1:16" x14ac:dyDescent="0.25">
      <c r="A135" s="3" t="s">
        <v>319</v>
      </c>
      <c r="B135" s="3" t="s">
        <v>219</v>
      </c>
      <c r="C135" s="3" t="s">
        <v>18</v>
      </c>
      <c r="D135" s="3" t="s">
        <v>64</v>
      </c>
      <c r="E135" s="3" t="s">
        <v>34</v>
      </c>
      <c r="F135" s="3" t="s">
        <v>35</v>
      </c>
      <c r="G135" s="3">
        <v>8</v>
      </c>
      <c r="H135" s="3">
        <v>6000</v>
      </c>
      <c r="I135" s="3">
        <v>0</v>
      </c>
      <c r="J135" s="3">
        <v>48000</v>
      </c>
      <c r="K135" s="3">
        <v>3500</v>
      </c>
      <c r="L135" s="3">
        <v>28000</v>
      </c>
      <c r="M135" s="3">
        <v>20000</v>
      </c>
      <c r="N135" s="3" t="s">
        <v>42</v>
      </c>
      <c r="O135" s="3" t="s">
        <v>30</v>
      </c>
      <c r="P135" s="3" t="s">
        <v>44</v>
      </c>
    </row>
    <row r="136" spans="1:16" x14ac:dyDescent="0.25">
      <c r="A136" s="2" t="s">
        <v>320</v>
      </c>
      <c r="B136" s="2" t="s">
        <v>321</v>
      </c>
      <c r="C136" s="2" t="s">
        <v>47</v>
      </c>
      <c r="D136" s="2" t="s">
        <v>64</v>
      </c>
      <c r="E136" s="2" t="s">
        <v>93</v>
      </c>
      <c r="F136" s="2" t="s">
        <v>94</v>
      </c>
      <c r="G136" s="2">
        <v>20</v>
      </c>
      <c r="H136" s="2">
        <v>1200</v>
      </c>
      <c r="I136" s="2">
        <v>20</v>
      </c>
      <c r="J136" s="2">
        <v>19200</v>
      </c>
      <c r="K136" s="2">
        <v>900</v>
      </c>
      <c r="L136" s="2">
        <v>18000</v>
      </c>
      <c r="M136" s="2">
        <v>1200</v>
      </c>
      <c r="N136" s="2" t="s">
        <v>22</v>
      </c>
      <c r="O136" s="2" t="s">
        <v>30</v>
      </c>
      <c r="P136" s="2" t="s">
        <v>95</v>
      </c>
    </row>
    <row r="137" spans="1:16" x14ac:dyDescent="0.25">
      <c r="A137" s="3" t="s">
        <v>322</v>
      </c>
      <c r="B137" s="3" t="s">
        <v>184</v>
      </c>
      <c r="C137" s="3" t="s">
        <v>39</v>
      </c>
      <c r="D137" s="3" t="s">
        <v>19</v>
      </c>
      <c r="E137" s="3" t="s">
        <v>34</v>
      </c>
      <c r="F137" s="3" t="s">
        <v>41</v>
      </c>
      <c r="G137" s="3">
        <v>10</v>
      </c>
      <c r="H137" s="3">
        <v>3000</v>
      </c>
      <c r="I137" s="3">
        <v>10</v>
      </c>
      <c r="J137" s="3">
        <v>27000</v>
      </c>
      <c r="K137" s="3">
        <v>1500</v>
      </c>
      <c r="L137" s="3">
        <v>15000</v>
      </c>
      <c r="M137" s="3">
        <v>12000</v>
      </c>
      <c r="N137" s="3" t="s">
        <v>42</v>
      </c>
      <c r="O137" s="3" t="s">
        <v>43</v>
      </c>
      <c r="P137" s="3" t="s">
        <v>44</v>
      </c>
    </row>
    <row r="138" spans="1:16" x14ac:dyDescent="0.25">
      <c r="A138" s="2" t="s">
        <v>323</v>
      </c>
      <c r="B138" s="2" t="s">
        <v>324</v>
      </c>
      <c r="C138" s="2" t="s">
        <v>47</v>
      </c>
      <c r="D138" s="2" t="s">
        <v>27</v>
      </c>
      <c r="E138" s="2" t="s">
        <v>28</v>
      </c>
      <c r="F138" s="2" t="s">
        <v>116</v>
      </c>
      <c r="G138" s="2">
        <v>1</v>
      </c>
      <c r="H138" s="2">
        <v>85000</v>
      </c>
      <c r="I138" s="2">
        <v>0</v>
      </c>
      <c r="J138" s="2">
        <v>85000</v>
      </c>
      <c r="K138" s="2">
        <v>65000</v>
      </c>
      <c r="L138" s="2">
        <v>65000</v>
      </c>
      <c r="M138" s="2">
        <v>20000</v>
      </c>
      <c r="N138" s="2" t="s">
        <v>22</v>
      </c>
      <c r="O138" s="2" t="s">
        <v>66</v>
      </c>
      <c r="P138" s="2" t="s">
        <v>44</v>
      </c>
    </row>
    <row r="139" spans="1:16" x14ac:dyDescent="0.25">
      <c r="A139" s="3" t="s">
        <v>325</v>
      </c>
      <c r="B139" s="3" t="s">
        <v>38</v>
      </c>
      <c r="C139" s="3" t="s">
        <v>92</v>
      </c>
      <c r="D139" s="3" t="s">
        <v>52</v>
      </c>
      <c r="E139" s="3" t="s">
        <v>20</v>
      </c>
      <c r="F139" s="3" t="s">
        <v>182</v>
      </c>
      <c r="G139" s="3">
        <v>19</v>
      </c>
      <c r="H139" s="3">
        <v>5000</v>
      </c>
      <c r="I139" s="3">
        <v>20</v>
      </c>
      <c r="J139" s="3">
        <v>76000</v>
      </c>
      <c r="K139" s="3">
        <v>3000</v>
      </c>
      <c r="L139" s="3">
        <v>57000</v>
      </c>
      <c r="M139" s="3">
        <v>19000</v>
      </c>
      <c r="N139" s="3" t="s">
        <v>22</v>
      </c>
      <c r="O139" s="3" t="s">
        <v>43</v>
      </c>
      <c r="P139" s="3" t="s">
        <v>44</v>
      </c>
    </row>
    <row r="140" spans="1:16" x14ac:dyDescent="0.25">
      <c r="A140" s="2" t="s">
        <v>326</v>
      </c>
      <c r="B140" s="2" t="s">
        <v>327</v>
      </c>
      <c r="C140" s="2" t="s">
        <v>104</v>
      </c>
      <c r="D140" s="2" t="s">
        <v>159</v>
      </c>
      <c r="E140" s="2" t="s">
        <v>20</v>
      </c>
      <c r="F140" s="2" t="s">
        <v>59</v>
      </c>
      <c r="G140" s="2">
        <v>14</v>
      </c>
      <c r="H140" s="2">
        <v>12000</v>
      </c>
      <c r="I140" s="2">
        <v>15</v>
      </c>
      <c r="J140" s="2">
        <v>142800</v>
      </c>
      <c r="K140" s="2">
        <v>8000</v>
      </c>
      <c r="L140" s="2">
        <v>112000</v>
      </c>
      <c r="M140" s="2">
        <v>30800</v>
      </c>
      <c r="N140" s="2" t="s">
        <v>42</v>
      </c>
      <c r="O140" s="2" t="s">
        <v>66</v>
      </c>
      <c r="P140" s="2" t="s">
        <v>44</v>
      </c>
    </row>
    <row r="141" spans="1:16" x14ac:dyDescent="0.25">
      <c r="A141" s="3" t="s">
        <v>328</v>
      </c>
      <c r="B141" s="3" t="s">
        <v>329</v>
      </c>
      <c r="C141" s="3" t="s">
        <v>18</v>
      </c>
      <c r="D141" s="3" t="s">
        <v>52</v>
      </c>
      <c r="E141" s="3" t="s">
        <v>93</v>
      </c>
      <c r="F141" s="3" t="s">
        <v>119</v>
      </c>
      <c r="G141" s="3">
        <v>10</v>
      </c>
      <c r="H141" s="3">
        <v>800</v>
      </c>
      <c r="I141" s="3">
        <v>25</v>
      </c>
      <c r="J141" s="3">
        <v>6000</v>
      </c>
      <c r="K141" s="3">
        <v>600</v>
      </c>
      <c r="L141" s="3">
        <v>6000</v>
      </c>
      <c r="M141" s="3">
        <v>0</v>
      </c>
      <c r="N141" s="3" t="s">
        <v>42</v>
      </c>
      <c r="O141" s="3" t="s">
        <v>30</v>
      </c>
      <c r="P141" s="3" t="s">
        <v>24</v>
      </c>
    </row>
    <row r="142" spans="1:16" x14ac:dyDescent="0.25">
      <c r="A142" s="2" t="s">
        <v>330</v>
      </c>
      <c r="B142" s="2" t="s">
        <v>331</v>
      </c>
      <c r="C142" s="2" t="s">
        <v>33</v>
      </c>
      <c r="D142" s="2" t="s">
        <v>27</v>
      </c>
      <c r="E142" s="2" t="s">
        <v>53</v>
      </c>
      <c r="F142" s="2" t="s">
        <v>82</v>
      </c>
      <c r="G142" s="2">
        <v>1</v>
      </c>
      <c r="H142" s="2">
        <v>4000</v>
      </c>
      <c r="I142" s="2">
        <v>5</v>
      </c>
      <c r="J142" s="2">
        <v>3800</v>
      </c>
      <c r="K142" s="2">
        <v>2500</v>
      </c>
      <c r="L142" s="2">
        <v>2500</v>
      </c>
      <c r="M142" s="2">
        <v>1300</v>
      </c>
      <c r="N142" s="2" t="s">
        <v>42</v>
      </c>
      <c r="O142" s="2" t="s">
        <v>36</v>
      </c>
      <c r="P142" s="2" t="s">
        <v>86</v>
      </c>
    </row>
    <row r="143" spans="1:16" x14ac:dyDescent="0.25">
      <c r="A143" s="3" t="s">
        <v>332</v>
      </c>
      <c r="B143" s="3" t="s">
        <v>333</v>
      </c>
      <c r="C143" s="3" t="s">
        <v>39</v>
      </c>
      <c r="D143" s="3" t="s">
        <v>52</v>
      </c>
      <c r="E143" s="3" t="s">
        <v>28</v>
      </c>
      <c r="F143" s="3" t="s">
        <v>29</v>
      </c>
      <c r="G143" s="3">
        <v>16</v>
      </c>
      <c r="H143" s="3">
        <v>25000</v>
      </c>
      <c r="I143" s="3">
        <v>25</v>
      </c>
      <c r="J143" s="3">
        <v>300000</v>
      </c>
      <c r="K143" s="3">
        <v>18000</v>
      </c>
      <c r="L143" s="3">
        <v>288000</v>
      </c>
      <c r="M143" s="3">
        <v>12000</v>
      </c>
      <c r="N143" s="3" t="s">
        <v>42</v>
      </c>
      <c r="O143" s="3" t="s">
        <v>36</v>
      </c>
      <c r="P143" s="3" t="s">
        <v>44</v>
      </c>
    </row>
    <row r="144" spans="1:16" x14ac:dyDescent="0.25">
      <c r="A144" s="2" t="s">
        <v>334</v>
      </c>
      <c r="B144" s="2" t="s">
        <v>91</v>
      </c>
      <c r="C144" s="2" t="s">
        <v>33</v>
      </c>
      <c r="D144" s="2" t="s">
        <v>52</v>
      </c>
      <c r="E144" s="2" t="s">
        <v>28</v>
      </c>
      <c r="F144" s="2" t="s">
        <v>49</v>
      </c>
      <c r="G144" s="2">
        <v>2</v>
      </c>
      <c r="H144" s="2">
        <v>5000</v>
      </c>
      <c r="I144" s="2">
        <v>15</v>
      </c>
      <c r="J144" s="2">
        <v>8500</v>
      </c>
      <c r="K144" s="2">
        <v>3000</v>
      </c>
      <c r="L144" s="2">
        <v>6000</v>
      </c>
      <c r="M144" s="2">
        <v>2500</v>
      </c>
      <c r="N144" s="2" t="s">
        <v>22</v>
      </c>
      <c r="O144" s="2" t="s">
        <v>66</v>
      </c>
      <c r="P144" s="2" t="s">
        <v>95</v>
      </c>
    </row>
    <row r="145" spans="1:16" x14ac:dyDescent="0.25">
      <c r="A145" s="3" t="s">
        <v>335</v>
      </c>
      <c r="B145" s="3" t="s">
        <v>336</v>
      </c>
      <c r="C145" s="3" t="s">
        <v>47</v>
      </c>
      <c r="D145" s="3" t="s">
        <v>27</v>
      </c>
      <c r="E145" s="3" t="s">
        <v>53</v>
      </c>
      <c r="F145" s="3" t="s">
        <v>71</v>
      </c>
      <c r="G145" s="3">
        <v>14</v>
      </c>
      <c r="H145" s="3">
        <v>8000</v>
      </c>
      <c r="I145" s="3">
        <v>10</v>
      </c>
      <c r="J145" s="3">
        <v>100800</v>
      </c>
      <c r="K145" s="3">
        <v>5000</v>
      </c>
      <c r="L145" s="3">
        <v>70000</v>
      </c>
      <c r="M145" s="3">
        <v>30800</v>
      </c>
      <c r="N145" s="3" t="s">
        <v>22</v>
      </c>
      <c r="O145" s="3" t="s">
        <v>66</v>
      </c>
      <c r="P145" s="3" t="s">
        <v>44</v>
      </c>
    </row>
    <row r="146" spans="1:16" x14ac:dyDescent="0.25">
      <c r="A146" s="2" t="s">
        <v>337</v>
      </c>
      <c r="B146" s="2" t="s">
        <v>211</v>
      </c>
      <c r="C146" s="2" t="s">
        <v>92</v>
      </c>
      <c r="D146" s="2" t="s">
        <v>74</v>
      </c>
      <c r="E146" s="2" t="s">
        <v>20</v>
      </c>
      <c r="F146" s="2" t="s">
        <v>65</v>
      </c>
      <c r="G146" s="2">
        <v>14</v>
      </c>
      <c r="H146" s="2">
        <v>18000</v>
      </c>
      <c r="I146" s="2">
        <v>0</v>
      </c>
      <c r="J146" s="2">
        <v>252000</v>
      </c>
      <c r="K146" s="2">
        <v>12000</v>
      </c>
      <c r="L146" s="2">
        <v>168000</v>
      </c>
      <c r="M146" s="2">
        <v>84000</v>
      </c>
      <c r="N146" s="2" t="s">
        <v>22</v>
      </c>
      <c r="O146" s="2" t="s">
        <v>66</v>
      </c>
      <c r="P146" s="2" t="s">
        <v>44</v>
      </c>
    </row>
    <row r="147" spans="1:16" x14ac:dyDescent="0.25">
      <c r="A147" s="3" t="s">
        <v>338</v>
      </c>
      <c r="B147" s="3" t="s">
        <v>339</v>
      </c>
      <c r="C147" s="3" t="s">
        <v>18</v>
      </c>
      <c r="D147" s="3" t="s">
        <v>27</v>
      </c>
      <c r="E147" s="3" t="s">
        <v>20</v>
      </c>
      <c r="F147" s="3" t="s">
        <v>182</v>
      </c>
      <c r="G147" s="3">
        <v>8</v>
      </c>
      <c r="H147" s="3">
        <v>5000</v>
      </c>
      <c r="I147" s="3">
        <v>10</v>
      </c>
      <c r="J147" s="3">
        <v>36000</v>
      </c>
      <c r="K147" s="3">
        <v>3000</v>
      </c>
      <c r="L147" s="3">
        <v>24000</v>
      </c>
      <c r="M147" s="3">
        <v>12000</v>
      </c>
      <c r="N147" s="3" t="s">
        <v>22</v>
      </c>
      <c r="O147" s="3" t="s">
        <v>43</v>
      </c>
      <c r="P147" s="3" t="s">
        <v>44</v>
      </c>
    </row>
    <row r="148" spans="1:16" x14ac:dyDescent="0.25">
      <c r="A148" s="2" t="s">
        <v>340</v>
      </c>
      <c r="B148" s="2" t="s">
        <v>306</v>
      </c>
      <c r="C148" s="2" t="s">
        <v>63</v>
      </c>
      <c r="D148" s="2" t="s">
        <v>64</v>
      </c>
      <c r="E148" s="2" t="s">
        <v>20</v>
      </c>
      <c r="F148" s="2" t="s">
        <v>182</v>
      </c>
      <c r="G148" s="2">
        <v>5</v>
      </c>
      <c r="H148" s="2">
        <v>5000</v>
      </c>
      <c r="I148" s="2">
        <v>5</v>
      </c>
      <c r="J148" s="2">
        <v>23750</v>
      </c>
      <c r="K148" s="2">
        <v>3000</v>
      </c>
      <c r="L148" s="2">
        <v>15000</v>
      </c>
      <c r="M148" s="2">
        <v>8750</v>
      </c>
      <c r="N148" s="2" t="s">
        <v>22</v>
      </c>
      <c r="O148" s="2" t="s">
        <v>36</v>
      </c>
      <c r="P148" s="2" t="s">
        <v>44</v>
      </c>
    </row>
    <row r="149" spans="1:16" x14ac:dyDescent="0.25">
      <c r="A149" s="3" t="s">
        <v>341</v>
      </c>
      <c r="B149" s="3" t="s">
        <v>342</v>
      </c>
      <c r="C149" s="3" t="s">
        <v>47</v>
      </c>
      <c r="D149" s="3" t="s">
        <v>40</v>
      </c>
      <c r="E149" s="3" t="s">
        <v>28</v>
      </c>
      <c r="F149" s="3" t="s">
        <v>116</v>
      </c>
      <c r="G149" s="3">
        <v>16</v>
      </c>
      <c r="H149" s="3">
        <v>85000</v>
      </c>
      <c r="I149" s="3">
        <v>15</v>
      </c>
      <c r="J149" s="3">
        <v>1156000</v>
      </c>
      <c r="K149" s="3">
        <v>65000</v>
      </c>
      <c r="L149" s="3">
        <v>1040000</v>
      </c>
      <c r="M149" s="3">
        <v>116000</v>
      </c>
      <c r="N149" s="3" t="s">
        <v>42</v>
      </c>
      <c r="O149" s="3" t="s">
        <v>23</v>
      </c>
      <c r="P149" s="3" t="s">
        <v>95</v>
      </c>
    </row>
    <row r="150" spans="1:16" x14ac:dyDescent="0.25">
      <c r="A150" s="2" t="s">
        <v>343</v>
      </c>
      <c r="B150" s="2" t="s">
        <v>344</v>
      </c>
      <c r="C150" s="2" t="s">
        <v>47</v>
      </c>
      <c r="D150" s="2" t="s">
        <v>52</v>
      </c>
      <c r="E150" s="2" t="s">
        <v>20</v>
      </c>
      <c r="F150" s="2" t="s">
        <v>21</v>
      </c>
      <c r="G150" s="2">
        <v>15</v>
      </c>
      <c r="H150" s="2">
        <v>3500</v>
      </c>
      <c r="I150" s="2">
        <v>0</v>
      </c>
      <c r="J150" s="2">
        <v>52500</v>
      </c>
      <c r="K150" s="2">
        <v>2000</v>
      </c>
      <c r="L150" s="2">
        <v>30000</v>
      </c>
      <c r="M150" s="2">
        <v>22500</v>
      </c>
      <c r="N150" s="2" t="s">
        <v>42</v>
      </c>
      <c r="O150" s="2" t="s">
        <v>66</v>
      </c>
      <c r="P150" s="2" t="s">
        <v>24</v>
      </c>
    </row>
    <row r="151" spans="1:16" x14ac:dyDescent="0.25">
      <c r="A151" s="3" t="s">
        <v>345</v>
      </c>
      <c r="B151" s="3" t="s">
        <v>346</v>
      </c>
      <c r="C151" s="3" t="s">
        <v>47</v>
      </c>
      <c r="D151" s="3" t="s">
        <v>19</v>
      </c>
      <c r="E151" s="3" t="s">
        <v>20</v>
      </c>
      <c r="F151" s="3" t="s">
        <v>137</v>
      </c>
      <c r="G151" s="3">
        <v>3</v>
      </c>
      <c r="H151" s="3">
        <v>15000</v>
      </c>
      <c r="I151" s="3">
        <v>10</v>
      </c>
      <c r="J151" s="3">
        <v>40500</v>
      </c>
      <c r="K151" s="3">
        <v>10000</v>
      </c>
      <c r="L151" s="3">
        <v>30000</v>
      </c>
      <c r="M151" s="3">
        <v>10500</v>
      </c>
      <c r="N151" s="3" t="s">
        <v>42</v>
      </c>
      <c r="O151" s="3" t="s">
        <v>66</v>
      </c>
      <c r="P151" s="3" t="s">
        <v>44</v>
      </c>
    </row>
    <row r="152" spans="1:16" x14ac:dyDescent="0.25">
      <c r="A152" s="2" t="s">
        <v>347</v>
      </c>
      <c r="B152" s="2" t="s">
        <v>200</v>
      </c>
      <c r="C152" s="2" t="s">
        <v>39</v>
      </c>
      <c r="D152" s="2" t="s">
        <v>159</v>
      </c>
      <c r="E152" s="2" t="s">
        <v>28</v>
      </c>
      <c r="F152" s="2" t="s">
        <v>127</v>
      </c>
      <c r="G152" s="2">
        <v>20</v>
      </c>
      <c r="H152" s="2">
        <v>15000</v>
      </c>
      <c r="I152" s="2">
        <v>20</v>
      </c>
      <c r="J152" s="2">
        <v>240000</v>
      </c>
      <c r="K152" s="2">
        <v>10000</v>
      </c>
      <c r="L152" s="2">
        <v>200000</v>
      </c>
      <c r="M152" s="2">
        <v>40000</v>
      </c>
      <c r="N152" s="2" t="s">
        <v>42</v>
      </c>
      <c r="O152" s="2" t="s">
        <v>66</v>
      </c>
      <c r="P152" s="2" t="s">
        <v>44</v>
      </c>
    </row>
    <row r="153" spans="1:16" x14ac:dyDescent="0.25">
      <c r="A153" s="3" t="s">
        <v>348</v>
      </c>
      <c r="B153" s="3" t="s">
        <v>349</v>
      </c>
      <c r="C153" s="3" t="s">
        <v>122</v>
      </c>
      <c r="D153" s="3" t="s">
        <v>64</v>
      </c>
      <c r="E153" s="3" t="s">
        <v>20</v>
      </c>
      <c r="F153" s="3" t="s">
        <v>137</v>
      </c>
      <c r="G153" s="3">
        <v>16</v>
      </c>
      <c r="H153" s="3">
        <v>15000</v>
      </c>
      <c r="I153" s="3">
        <v>20</v>
      </c>
      <c r="J153" s="3">
        <v>192000</v>
      </c>
      <c r="K153" s="3">
        <v>10000</v>
      </c>
      <c r="L153" s="3">
        <v>160000</v>
      </c>
      <c r="M153" s="3">
        <v>32000</v>
      </c>
      <c r="N153" s="3" t="s">
        <v>22</v>
      </c>
      <c r="O153" s="3" t="s">
        <v>43</v>
      </c>
      <c r="P153" s="3" t="s">
        <v>44</v>
      </c>
    </row>
    <row r="154" spans="1:16" x14ac:dyDescent="0.25">
      <c r="A154" s="2" t="s">
        <v>350</v>
      </c>
      <c r="B154" s="2" t="s">
        <v>351</v>
      </c>
      <c r="C154" s="2" t="s">
        <v>18</v>
      </c>
      <c r="D154" s="2" t="s">
        <v>40</v>
      </c>
      <c r="E154" s="2" t="s">
        <v>28</v>
      </c>
      <c r="F154" s="2" t="s">
        <v>116</v>
      </c>
      <c r="G154" s="2">
        <v>15</v>
      </c>
      <c r="H154" s="2">
        <v>85000</v>
      </c>
      <c r="I154" s="2">
        <v>15</v>
      </c>
      <c r="J154" s="2">
        <v>1083750</v>
      </c>
      <c r="K154" s="2">
        <v>65000</v>
      </c>
      <c r="L154" s="2">
        <v>975000</v>
      </c>
      <c r="M154" s="2">
        <v>108750</v>
      </c>
      <c r="N154" s="2" t="s">
        <v>22</v>
      </c>
      <c r="O154" s="2" t="s">
        <v>55</v>
      </c>
      <c r="P154" s="2" t="s">
        <v>44</v>
      </c>
    </row>
    <row r="155" spans="1:16" x14ac:dyDescent="0.25">
      <c r="A155" s="3" t="s">
        <v>352</v>
      </c>
      <c r="B155" s="3" t="s">
        <v>353</v>
      </c>
      <c r="C155" s="3" t="s">
        <v>77</v>
      </c>
      <c r="D155" s="3" t="s">
        <v>27</v>
      </c>
      <c r="E155" s="3" t="s">
        <v>20</v>
      </c>
      <c r="F155" s="3" t="s">
        <v>137</v>
      </c>
      <c r="G155" s="3">
        <v>2</v>
      </c>
      <c r="H155" s="3">
        <v>15000</v>
      </c>
      <c r="I155" s="3">
        <v>25</v>
      </c>
      <c r="J155" s="3">
        <v>22500</v>
      </c>
      <c r="K155" s="3">
        <v>10000</v>
      </c>
      <c r="L155" s="3">
        <v>20000</v>
      </c>
      <c r="M155" s="3">
        <v>2500</v>
      </c>
      <c r="N155" s="3" t="s">
        <v>42</v>
      </c>
      <c r="O155" s="3" t="s">
        <v>43</v>
      </c>
      <c r="P155" s="3" t="s">
        <v>44</v>
      </c>
    </row>
    <row r="156" spans="1:16" x14ac:dyDescent="0.25">
      <c r="A156" s="2" t="s">
        <v>354</v>
      </c>
      <c r="B156" s="2" t="s">
        <v>355</v>
      </c>
      <c r="C156" s="2" t="s">
        <v>77</v>
      </c>
      <c r="D156" s="2" t="s">
        <v>48</v>
      </c>
      <c r="E156" s="2" t="s">
        <v>20</v>
      </c>
      <c r="F156" s="2" t="s">
        <v>137</v>
      </c>
      <c r="G156" s="2">
        <v>5</v>
      </c>
      <c r="H156" s="2">
        <v>15000</v>
      </c>
      <c r="I156" s="2">
        <v>10</v>
      </c>
      <c r="J156" s="2">
        <v>67500</v>
      </c>
      <c r="K156" s="2">
        <v>10000</v>
      </c>
      <c r="L156" s="2">
        <v>50000</v>
      </c>
      <c r="M156" s="2">
        <v>17500</v>
      </c>
      <c r="N156" s="2" t="s">
        <v>22</v>
      </c>
      <c r="O156" s="2" t="s">
        <v>30</v>
      </c>
      <c r="P156" s="2" t="s">
        <v>24</v>
      </c>
    </row>
    <row r="157" spans="1:16" x14ac:dyDescent="0.25">
      <c r="A157" s="3" t="s">
        <v>356</v>
      </c>
      <c r="B157" s="3" t="s">
        <v>357</v>
      </c>
      <c r="C157" s="3" t="s">
        <v>39</v>
      </c>
      <c r="D157" s="3" t="s">
        <v>27</v>
      </c>
      <c r="E157" s="3" t="s">
        <v>34</v>
      </c>
      <c r="F157" s="3" t="s">
        <v>89</v>
      </c>
      <c r="G157" s="3">
        <v>3</v>
      </c>
      <c r="H157" s="3">
        <v>4500</v>
      </c>
      <c r="I157" s="3">
        <v>10</v>
      </c>
      <c r="J157" s="3">
        <v>12150</v>
      </c>
      <c r="K157" s="3">
        <v>2500</v>
      </c>
      <c r="L157" s="3">
        <v>7500</v>
      </c>
      <c r="M157" s="3">
        <v>4650</v>
      </c>
      <c r="N157" s="3" t="s">
        <v>42</v>
      </c>
      <c r="O157" s="3" t="s">
        <v>23</v>
      </c>
      <c r="P157" s="3" t="s">
        <v>86</v>
      </c>
    </row>
    <row r="158" spans="1:16" x14ac:dyDescent="0.25">
      <c r="A158" s="2" t="s">
        <v>358</v>
      </c>
      <c r="B158" s="2" t="s">
        <v>359</v>
      </c>
      <c r="C158" s="2" t="s">
        <v>63</v>
      </c>
      <c r="D158" s="2" t="s">
        <v>159</v>
      </c>
      <c r="E158" s="2" t="s">
        <v>93</v>
      </c>
      <c r="F158" s="2" t="s">
        <v>94</v>
      </c>
      <c r="G158" s="2">
        <v>12</v>
      </c>
      <c r="H158" s="2">
        <v>1200</v>
      </c>
      <c r="I158" s="2">
        <v>0</v>
      </c>
      <c r="J158" s="2">
        <v>14400</v>
      </c>
      <c r="K158" s="2">
        <v>900</v>
      </c>
      <c r="L158" s="2">
        <v>10800</v>
      </c>
      <c r="M158" s="2">
        <v>3600</v>
      </c>
      <c r="N158" s="2" t="s">
        <v>42</v>
      </c>
      <c r="O158" s="2" t="s">
        <v>55</v>
      </c>
      <c r="P158" s="2" t="s">
        <v>44</v>
      </c>
    </row>
    <row r="159" spans="1:16" x14ac:dyDescent="0.25">
      <c r="A159" s="3" t="s">
        <v>360</v>
      </c>
      <c r="B159" s="3" t="s">
        <v>106</v>
      </c>
      <c r="C159" s="3" t="s">
        <v>100</v>
      </c>
      <c r="D159" s="3" t="s">
        <v>74</v>
      </c>
      <c r="E159" s="3" t="s">
        <v>34</v>
      </c>
      <c r="F159" s="3" t="s">
        <v>146</v>
      </c>
      <c r="G159" s="3">
        <v>5</v>
      </c>
      <c r="H159" s="3">
        <v>3500</v>
      </c>
      <c r="I159" s="3">
        <v>5</v>
      </c>
      <c r="J159" s="3">
        <v>16625</v>
      </c>
      <c r="K159" s="3">
        <v>1800</v>
      </c>
      <c r="L159" s="3">
        <v>9000</v>
      </c>
      <c r="M159" s="3">
        <v>7625</v>
      </c>
      <c r="N159" s="3" t="s">
        <v>22</v>
      </c>
      <c r="O159" s="3" t="s">
        <v>55</v>
      </c>
      <c r="P159" s="3" t="s">
        <v>86</v>
      </c>
    </row>
    <row r="160" spans="1:16" x14ac:dyDescent="0.25">
      <c r="A160" s="2" t="s">
        <v>361</v>
      </c>
      <c r="B160" s="2" t="s">
        <v>362</v>
      </c>
      <c r="C160" s="2" t="s">
        <v>63</v>
      </c>
      <c r="D160" s="2" t="s">
        <v>19</v>
      </c>
      <c r="E160" s="2" t="s">
        <v>20</v>
      </c>
      <c r="F160" s="2" t="s">
        <v>137</v>
      </c>
      <c r="G160" s="2">
        <v>5</v>
      </c>
      <c r="H160" s="2">
        <v>15000</v>
      </c>
      <c r="I160" s="2">
        <v>20</v>
      </c>
      <c r="J160" s="2">
        <v>60000</v>
      </c>
      <c r="K160" s="2">
        <v>10000</v>
      </c>
      <c r="L160" s="2">
        <v>50000</v>
      </c>
      <c r="M160" s="2">
        <v>10000</v>
      </c>
      <c r="N160" s="2" t="s">
        <v>42</v>
      </c>
      <c r="O160" s="2" t="s">
        <v>36</v>
      </c>
      <c r="P160" s="2" t="s">
        <v>44</v>
      </c>
    </row>
    <row r="161" spans="1:16" x14ac:dyDescent="0.25">
      <c r="A161" s="3" t="s">
        <v>363</v>
      </c>
      <c r="B161" s="3" t="s">
        <v>364</v>
      </c>
      <c r="C161" s="3" t="s">
        <v>47</v>
      </c>
      <c r="D161" s="3" t="s">
        <v>40</v>
      </c>
      <c r="E161" s="3" t="s">
        <v>93</v>
      </c>
      <c r="F161" s="3" t="s">
        <v>119</v>
      </c>
      <c r="G161" s="3">
        <v>14</v>
      </c>
      <c r="H161" s="3">
        <v>800</v>
      </c>
      <c r="I161" s="3">
        <v>10</v>
      </c>
      <c r="J161" s="3">
        <v>10080</v>
      </c>
      <c r="K161" s="3">
        <v>600</v>
      </c>
      <c r="L161" s="3">
        <v>8400</v>
      </c>
      <c r="M161" s="3">
        <v>1680</v>
      </c>
      <c r="N161" s="3" t="s">
        <v>22</v>
      </c>
      <c r="O161" s="3" t="s">
        <v>66</v>
      </c>
      <c r="P161" s="3" t="s">
        <v>24</v>
      </c>
    </row>
    <row r="162" spans="1:16" x14ac:dyDescent="0.25">
      <c r="A162" s="2" t="s">
        <v>365</v>
      </c>
      <c r="B162" s="2" t="s">
        <v>366</v>
      </c>
      <c r="C162" s="2" t="s">
        <v>33</v>
      </c>
      <c r="D162" s="2" t="s">
        <v>64</v>
      </c>
      <c r="E162" s="2" t="s">
        <v>20</v>
      </c>
      <c r="F162" s="2" t="s">
        <v>59</v>
      </c>
      <c r="G162" s="2">
        <v>7</v>
      </c>
      <c r="H162" s="2">
        <v>12000</v>
      </c>
      <c r="I162" s="2">
        <v>10</v>
      </c>
      <c r="J162" s="2">
        <v>75600</v>
      </c>
      <c r="K162" s="2">
        <v>8000</v>
      </c>
      <c r="L162" s="2">
        <v>56000</v>
      </c>
      <c r="M162" s="2">
        <v>19600</v>
      </c>
      <c r="N162" s="2" t="s">
        <v>42</v>
      </c>
      <c r="O162" s="2" t="s">
        <v>66</v>
      </c>
      <c r="P162" s="2" t="s">
        <v>86</v>
      </c>
    </row>
    <row r="163" spans="1:16" x14ac:dyDescent="0.25">
      <c r="A163" s="3" t="s">
        <v>367</v>
      </c>
      <c r="B163" s="3" t="s">
        <v>368</v>
      </c>
      <c r="C163" s="3" t="s">
        <v>63</v>
      </c>
      <c r="D163" s="3" t="s">
        <v>27</v>
      </c>
      <c r="E163" s="3" t="s">
        <v>34</v>
      </c>
      <c r="F163" s="3" t="s">
        <v>146</v>
      </c>
      <c r="G163" s="3">
        <v>20</v>
      </c>
      <c r="H163" s="3">
        <v>3500</v>
      </c>
      <c r="I163" s="3">
        <v>5</v>
      </c>
      <c r="J163" s="3">
        <v>66500</v>
      </c>
      <c r="K163" s="3">
        <v>1800</v>
      </c>
      <c r="L163" s="3">
        <v>36000</v>
      </c>
      <c r="M163" s="3">
        <v>30500</v>
      </c>
      <c r="N163" s="3" t="s">
        <v>42</v>
      </c>
      <c r="O163" s="3" t="s">
        <v>43</v>
      </c>
      <c r="P163" s="3" t="s">
        <v>24</v>
      </c>
    </row>
    <row r="164" spans="1:16" x14ac:dyDescent="0.25">
      <c r="A164" s="2" t="s">
        <v>369</v>
      </c>
      <c r="B164" s="2" t="s">
        <v>370</v>
      </c>
      <c r="C164" s="2" t="s">
        <v>63</v>
      </c>
      <c r="D164" s="2" t="s">
        <v>159</v>
      </c>
      <c r="E164" s="2" t="s">
        <v>53</v>
      </c>
      <c r="F164" s="2" t="s">
        <v>82</v>
      </c>
      <c r="G164" s="2">
        <v>10</v>
      </c>
      <c r="H164" s="2">
        <v>4000</v>
      </c>
      <c r="I164" s="2">
        <v>0</v>
      </c>
      <c r="J164" s="2">
        <v>40000</v>
      </c>
      <c r="K164" s="2">
        <v>2500</v>
      </c>
      <c r="L164" s="2">
        <v>25000</v>
      </c>
      <c r="M164" s="2">
        <v>15000</v>
      </c>
      <c r="N164" s="2" t="s">
        <v>22</v>
      </c>
      <c r="O164" s="2" t="s">
        <v>55</v>
      </c>
      <c r="P164" s="2" t="s">
        <v>44</v>
      </c>
    </row>
    <row r="165" spans="1:16" x14ac:dyDescent="0.25">
      <c r="A165" s="3" t="s">
        <v>371</v>
      </c>
      <c r="B165" s="3" t="s">
        <v>329</v>
      </c>
      <c r="C165" s="3" t="s">
        <v>92</v>
      </c>
      <c r="D165" s="3" t="s">
        <v>27</v>
      </c>
      <c r="E165" s="3" t="s">
        <v>28</v>
      </c>
      <c r="F165" s="3" t="s">
        <v>116</v>
      </c>
      <c r="G165" s="3">
        <v>15</v>
      </c>
      <c r="H165" s="3">
        <v>85000</v>
      </c>
      <c r="I165" s="3">
        <v>10</v>
      </c>
      <c r="J165" s="3">
        <v>1147500</v>
      </c>
      <c r="K165" s="3">
        <v>65000</v>
      </c>
      <c r="L165" s="3">
        <v>975000</v>
      </c>
      <c r="M165" s="3">
        <v>172500</v>
      </c>
      <c r="N165" s="3" t="s">
        <v>22</v>
      </c>
      <c r="O165" s="3" t="s">
        <v>66</v>
      </c>
      <c r="P165" s="3" t="s">
        <v>44</v>
      </c>
    </row>
    <row r="166" spans="1:16" x14ac:dyDescent="0.25">
      <c r="A166" s="2" t="s">
        <v>372</v>
      </c>
      <c r="B166" s="2" t="s">
        <v>373</v>
      </c>
      <c r="C166" s="2" t="s">
        <v>100</v>
      </c>
      <c r="D166" s="2" t="s">
        <v>64</v>
      </c>
      <c r="E166" s="2" t="s">
        <v>93</v>
      </c>
      <c r="F166" s="2" t="s">
        <v>119</v>
      </c>
      <c r="G166" s="2">
        <v>12</v>
      </c>
      <c r="H166" s="2">
        <v>800</v>
      </c>
      <c r="I166" s="2">
        <v>5</v>
      </c>
      <c r="J166" s="2">
        <v>9120</v>
      </c>
      <c r="K166" s="2">
        <v>600</v>
      </c>
      <c r="L166" s="2">
        <v>7200</v>
      </c>
      <c r="M166" s="2">
        <v>1920</v>
      </c>
      <c r="N166" s="2" t="s">
        <v>22</v>
      </c>
      <c r="O166" s="2" t="s">
        <v>55</v>
      </c>
      <c r="P166" s="2" t="s">
        <v>95</v>
      </c>
    </row>
    <row r="167" spans="1:16" x14ac:dyDescent="0.25">
      <c r="A167" s="3" t="s">
        <v>374</v>
      </c>
      <c r="B167" s="3" t="s">
        <v>375</v>
      </c>
      <c r="C167" s="3" t="s">
        <v>100</v>
      </c>
      <c r="D167" s="3" t="s">
        <v>40</v>
      </c>
      <c r="E167" s="3" t="s">
        <v>34</v>
      </c>
      <c r="F167" s="3" t="s">
        <v>196</v>
      </c>
      <c r="G167" s="3">
        <v>10</v>
      </c>
      <c r="H167" s="3">
        <v>2500</v>
      </c>
      <c r="I167" s="3">
        <v>15</v>
      </c>
      <c r="J167" s="3">
        <v>21250</v>
      </c>
      <c r="K167" s="3">
        <v>1200</v>
      </c>
      <c r="L167" s="3">
        <v>12000</v>
      </c>
      <c r="M167" s="3">
        <v>9250</v>
      </c>
      <c r="N167" s="3" t="s">
        <v>22</v>
      </c>
      <c r="O167" s="3" t="s">
        <v>23</v>
      </c>
      <c r="P167" s="3" t="s">
        <v>44</v>
      </c>
    </row>
    <row r="168" spans="1:16" x14ac:dyDescent="0.25">
      <c r="A168" s="2" t="s">
        <v>376</v>
      </c>
      <c r="B168" s="2" t="s">
        <v>377</v>
      </c>
      <c r="C168" s="2" t="s">
        <v>104</v>
      </c>
      <c r="D168" s="2" t="s">
        <v>159</v>
      </c>
      <c r="E168" s="2" t="s">
        <v>28</v>
      </c>
      <c r="F168" s="2" t="s">
        <v>274</v>
      </c>
      <c r="G168" s="2">
        <v>7</v>
      </c>
      <c r="H168" s="2">
        <v>35000</v>
      </c>
      <c r="I168" s="2">
        <v>5</v>
      </c>
      <c r="J168" s="2">
        <v>232750</v>
      </c>
      <c r="K168" s="2">
        <v>26000</v>
      </c>
      <c r="L168" s="2">
        <v>182000</v>
      </c>
      <c r="M168" s="2">
        <v>50750</v>
      </c>
      <c r="N168" s="2" t="s">
        <v>42</v>
      </c>
      <c r="O168" s="2" t="s">
        <v>43</v>
      </c>
      <c r="P168" s="2" t="s">
        <v>86</v>
      </c>
    </row>
    <row r="169" spans="1:16" x14ac:dyDescent="0.25">
      <c r="A169" s="3" t="s">
        <v>378</v>
      </c>
      <c r="B169" s="3" t="s">
        <v>148</v>
      </c>
      <c r="C169" s="3" t="s">
        <v>39</v>
      </c>
      <c r="D169" s="3" t="s">
        <v>159</v>
      </c>
      <c r="E169" s="3" t="s">
        <v>28</v>
      </c>
      <c r="F169" s="3" t="s">
        <v>116</v>
      </c>
      <c r="G169" s="3">
        <v>14</v>
      </c>
      <c r="H169" s="3">
        <v>85000</v>
      </c>
      <c r="I169" s="3">
        <v>25</v>
      </c>
      <c r="J169" s="3">
        <v>892500</v>
      </c>
      <c r="K169" s="3">
        <v>65000</v>
      </c>
      <c r="L169" s="3">
        <v>910000</v>
      </c>
      <c r="M169" s="3">
        <v>-17500</v>
      </c>
      <c r="N169" s="3" t="s">
        <v>42</v>
      </c>
      <c r="O169" s="3" t="s">
        <v>43</v>
      </c>
      <c r="P169" s="3" t="s">
        <v>44</v>
      </c>
    </row>
    <row r="170" spans="1:16" x14ac:dyDescent="0.25">
      <c r="A170" s="2" t="s">
        <v>379</v>
      </c>
      <c r="B170" s="2" t="s">
        <v>250</v>
      </c>
      <c r="C170" s="2" t="s">
        <v>47</v>
      </c>
      <c r="D170" s="2" t="s">
        <v>19</v>
      </c>
      <c r="E170" s="2" t="s">
        <v>53</v>
      </c>
      <c r="F170" s="2" t="s">
        <v>101</v>
      </c>
      <c r="G170" s="2">
        <v>8</v>
      </c>
      <c r="H170" s="2">
        <v>1200</v>
      </c>
      <c r="I170" s="2">
        <v>25</v>
      </c>
      <c r="J170" s="2">
        <v>7200</v>
      </c>
      <c r="K170" s="2">
        <v>700</v>
      </c>
      <c r="L170" s="2">
        <v>5600</v>
      </c>
      <c r="M170" s="2">
        <v>1600</v>
      </c>
      <c r="N170" s="2" t="s">
        <v>22</v>
      </c>
      <c r="O170" s="2" t="s">
        <v>55</v>
      </c>
      <c r="P170" s="2" t="s">
        <v>44</v>
      </c>
    </row>
    <row r="171" spans="1:16" x14ac:dyDescent="0.25">
      <c r="A171" s="3" t="s">
        <v>380</v>
      </c>
      <c r="B171" s="3" t="s">
        <v>308</v>
      </c>
      <c r="C171" s="3" t="s">
        <v>100</v>
      </c>
      <c r="D171" s="3" t="s">
        <v>64</v>
      </c>
      <c r="E171" s="3" t="s">
        <v>53</v>
      </c>
      <c r="F171" s="3" t="s">
        <v>71</v>
      </c>
      <c r="G171" s="3">
        <v>6</v>
      </c>
      <c r="H171" s="3">
        <v>8000</v>
      </c>
      <c r="I171" s="3">
        <v>25</v>
      </c>
      <c r="J171" s="3">
        <v>36000</v>
      </c>
      <c r="K171" s="3">
        <v>5000</v>
      </c>
      <c r="L171" s="3">
        <v>30000</v>
      </c>
      <c r="M171" s="3">
        <v>6000</v>
      </c>
      <c r="N171" s="3" t="s">
        <v>22</v>
      </c>
      <c r="O171" s="3" t="s">
        <v>30</v>
      </c>
      <c r="P171" s="3" t="s">
        <v>56</v>
      </c>
    </row>
    <row r="172" spans="1:16" x14ac:dyDescent="0.25">
      <c r="A172" s="2" t="s">
        <v>381</v>
      </c>
      <c r="B172" s="2" t="s">
        <v>126</v>
      </c>
      <c r="C172" s="2" t="s">
        <v>63</v>
      </c>
      <c r="D172" s="2" t="s">
        <v>19</v>
      </c>
      <c r="E172" s="2" t="s">
        <v>93</v>
      </c>
      <c r="F172" s="2" t="s">
        <v>109</v>
      </c>
      <c r="G172" s="2">
        <v>2</v>
      </c>
      <c r="H172" s="2">
        <v>700</v>
      </c>
      <c r="I172" s="2">
        <v>25</v>
      </c>
      <c r="J172" s="2">
        <v>1050</v>
      </c>
      <c r="K172" s="2">
        <v>500</v>
      </c>
      <c r="L172" s="2">
        <v>1000</v>
      </c>
      <c r="M172" s="2">
        <v>50</v>
      </c>
      <c r="N172" s="2" t="s">
        <v>42</v>
      </c>
      <c r="O172" s="2" t="s">
        <v>55</v>
      </c>
      <c r="P172" s="2" t="s">
        <v>44</v>
      </c>
    </row>
    <row r="173" spans="1:16" x14ac:dyDescent="0.25">
      <c r="A173" s="3" t="s">
        <v>382</v>
      </c>
      <c r="B173" s="3" t="s">
        <v>383</v>
      </c>
      <c r="C173" s="3" t="s">
        <v>100</v>
      </c>
      <c r="D173" s="3" t="s">
        <v>159</v>
      </c>
      <c r="E173" s="3" t="s">
        <v>20</v>
      </c>
      <c r="F173" s="3" t="s">
        <v>21</v>
      </c>
      <c r="G173" s="3">
        <v>4</v>
      </c>
      <c r="H173" s="3">
        <v>3500</v>
      </c>
      <c r="I173" s="3">
        <v>20</v>
      </c>
      <c r="J173" s="3">
        <v>11200</v>
      </c>
      <c r="K173" s="3">
        <v>2000</v>
      </c>
      <c r="L173" s="3">
        <v>8000</v>
      </c>
      <c r="M173" s="3">
        <v>3200</v>
      </c>
      <c r="N173" s="3" t="s">
        <v>42</v>
      </c>
      <c r="O173" s="3" t="s">
        <v>36</v>
      </c>
      <c r="P173" s="3" t="s">
        <v>44</v>
      </c>
    </row>
    <row r="174" spans="1:16" x14ac:dyDescent="0.25">
      <c r="A174" s="2" t="s">
        <v>384</v>
      </c>
      <c r="B174" s="2" t="s">
        <v>26</v>
      </c>
      <c r="C174" s="2" t="s">
        <v>100</v>
      </c>
      <c r="D174" s="2" t="s">
        <v>40</v>
      </c>
      <c r="E174" s="2" t="s">
        <v>93</v>
      </c>
      <c r="F174" s="2" t="s">
        <v>109</v>
      </c>
      <c r="G174" s="2">
        <v>6</v>
      </c>
      <c r="H174" s="2">
        <v>700</v>
      </c>
      <c r="I174" s="2">
        <v>5</v>
      </c>
      <c r="J174" s="2">
        <v>3990</v>
      </c>
      <c r="K174" s="2">
        <v>500</v>
      </c>
      <c r="L174" s="2">
        <v>3000</v>
      </c>
      <c r="M174" s="2">
        <v>990</v>
      </c>
      <c r="N174" s="2" t="s">
        <v>22</v>
      </c>
      <c r="O174" s="2" t="s">
        <v>23</v>
      </c>
      <c r="P174" s="2" t="s">
        <v>86</v>
      </c>
    </row>
    <row r="175" spans="1:16" x14ac:dyDescent="0.25">
      <c r="A175" s="3" t="s">
        <v>385</v>
      </c>
      <c r="B175" s="3" t="s">
        <v>386</v>
      </c>
      <c r="C175" s="3" t="s">
        <v>104</v>
      </c>
      <c r="D175" s="3" t="s">
        <v>48</v>
      </c>
      <c r="E175" s="3" t="s">
        <v>34</v>
      </c>
      <c r="F175" s="3" t="s">
        <v>196</v>
      </c>
      <c r="G175" s="3">
        <v>7</v>
      </c>
      <c r="H175" s="3">
        <v>2500</v>
      </c>
      <c r="I175" s="3">
        <v>0</v>
      </c>
      <c r="J175" s="3">
        <v>17500</v>
      </c>
      <c r="K175" s="3">
        <v>1200</v>
      </c>
      <c r="L175" s="3">
        <v>8400</v>
      </c>
      <c r="M175" s="3">
        <v>9100</v>
      </c>
      <c r="N175" s="3" t="s">
        <v>42</v>
      </c>
      <c r="O175" s="3" t="s">
        <v>55</v>
      </c>
      <c r="P175" s="3" t="s">
        <v>44</v>
      </c>
    </row>
    <row r="176" spans="1:16" x14ac:dyDescent="0.25">
      <c r="A176" s="2" t="s">
        <v>387</v>
      </c>
      <c r="B176" s="2" t="s">
        <v>134</v>
      </c>
      <c r="C176" s="2" t="s">
        <v>122</v>
      </c>
      <c r="D176" s="2" t="s">
        <v>48</v>
      </c>
      <c r="E176" s="2" t="s">
        <v>28</v>
      </c>
      <c r="F176" s="2" t="s">
        <v>116</v>
      </c>
      <c r="G176" s="2">
        <v>10</v>
      </c>
      <c r="H176" s="2">
        <v>85000</v>
      </c>
      <c r="I176" s="2">
        <v>10</v>
      </c>
      <c r="J176" s="2">
        <v>765000</v>
      </c>
      <c r="K176" s="2">
        <v>65000</v>
      </c>
      <c r="L176" s="2">
        <v>650000</v>
      </c>
      <c r="M176" s="2">
        <v>115000</v>
      </c>
      <c r="N176" s="2" t="s">
        <v>22</v>
      </c>
      <c r="O176" s="2" t="s">
        <v>23</v>
      </c>
      <c r="P176" s="2" t="s">
        <v>44</v>
      </c>
    </row>
    <row r="177" spans="1:16" x14ac:dyDescent="0.25">
      <c r="A177" s="3" t="s">
        <v>388</v>
      </c>
      <c r="B177" s="3" t="s">
        <v>163</v>
      </c>
      <c r="C177" s="3" t="s">
        <v>100</v>
      </c>
      <c r="D177" s="3" t="s">
        <v>27</v>
      </c>
      <c r="E177" s="3" t="s">
        <v>93</v>
      </c>
      <c r="F177" s="3" t="s">
        <v>109</v>
      </c>
      <c r="G177" s="3">
        <v>13</v>
      </c>
      <c r="H177" s="3">
        <v>700</v>
      </c>
      <c r="I177" s="3">
        <v>10</v>
      </c>
      <c r="J177" s="3">
        <v>8190</v>
      </c>
      <c r="K177" s="3">
        <v>500</v>
      </c>
      <c r="L177" s="3">
        <v>6500</v>
      </c>
      <c r="M177" s="3">
        <v>1690</v>
      </c>
      <c r="N177" s="3" t="s">
        <v>22</v>
      </c>
      <c r="O177" s="3" t="s">
        <v>66</v>
      </c>
      <c r="P177" s="3" t="s">
        <v>24</v>
      </c>
    </row>
    <row r="178" spans="1:16" x14ac:dyDescent="0.25">
      <c r="A178" s="2" t="s">
        <v>389</v>
      </c>
      <c r="B178" s="2" t="s">
        <v>200</v>
      </c>
      <c r="C178" s="2" t="s">
        <v>63</v>
      </c>
      <c r="D178" s="2" t="s">
        <v>48</v>
      </c>
      <c r="E178" s="2" t="s">
        <v>28</v>
      </c>
      <c r="F178" s="2" t="s">
        <v>49</v>
      </c>
      <c r="G178" s="2">
        <v>3</v>
      </c>
      <c r="H178" s="2">
        <v>5000</v>
      </c>
      <c r="I178" s="2">
        <v>15</v>
      </c>
      <c r="J178" s="2">
        <v>12750</v>
      </c>
      <c r="K178" s="2">
        <v>3000</v>
      </c>
      <c r="L178" s="2">
        <v>9000</v>
      </c>
      <c r="M178" s="2">
        <v>3750</v>
      </c>
      <c r="N178" s="2" t="s">
        <v>22</v>
      </c>
      <c r="O178" s="2" t="s">
        <v>30</v>
      </c>
      <c r="P178" s="2" t="s">
        <v>44</v>
      </c>
    </row>
    <row r="179" spans="1:16" x14ac:dyDescent="0.25">
      <c r="A179" s="3" t="s">
        <v>390</v>
      </c>
      <c r="B179" s="3" t="s">
        <v>391</v>
      </c>
      <c r="C179" s="3" t="s">
        <v>18</v>
      </c>
      <c r="D179" s="3" t="s">
        <v>52</v>
      </c>
      <c r="E179" s="3" t="s">
        <v>20</v>
      </c>
      <c r="F179" s="3" t="s">
        <v>182</v>
      </c>
      <c r="G179" s="3">
        <v>15</v>
      </c>
      <c r="H179" s="3">
        <v>5000</v>
      </c>
      <c r="I179" s="3">
        <v>20</v>
      </c>
      <c r="J179" s="3">
        <v>60000</v>
      </c>
      <c r="K179" s="3">
        <v>3000</v>
      </c>
      <c r="L179" s="3">
        <v>45000</v>
      </c>
      <c r="M179" s="3">
        <v>15000</v>
      </c>
      <c r="N179" s="3" t="s">
        <v>42</v>
      </c>
      <c r="O179" s="3" t="s">
        <v>36</v>
      </c>
      <c r="P179" s="3" t="s">
        <v>24</v>
      </c>
    </row>
    <row r="180" spans="1:16" x14ac:dyDescent="0.25">
      <c r="A180" s="2" t="s">
        <v>392</v>
      </c>
      <c r="B180" s="2" t="s">
        <v>357</v>
      </c>
      <c r="C180" s="2" t="s">
        <v>122</v>
      </c>
      <c r="D180" s="2" t="s">
        <v>19</v>
      </c>
      <c r="E180" s="2" t="s">
        <v>20</v>
      </c>
      <c r="F180" s="2" t="s">
        <v>137</v>
      </c>
      <c r="G180" s="2">
        <v>14</v>
      </c>
      <c r="H180" s="2">
        <v>15000</v>
      </c>
      <c r="I180" s="2">
        <v>10</v>
      </c>
      <c r="J180" s="2">
        <v>189000</v>
      </c>
      <c r="K180" s="2">
        <v>10000</v>
      </c>
      <c r="L180" s="2">
        <v>140000</v>
      </c>
      <c r="M180" s="2">
        <v>49000</v>
      </c>
      <c r="N180" s="2" t="s">
        <v>22</v>
      </c>
      <c r="O180" s="2" t="s">
        <v>43</v>
      </c>
      <c r="P180" s="2" t="s">
        <v>24</v>
      </c>
    </row>
    <row r="181" spans="1:16" x14ac:dyDescent="0.25">
      <c r="A181" s="3" t="s">
        <v>393</v>
      </c>
      <c r="B181" s="3" t="s">
        <v>394</v>
      </c>
      <c r="C181" s="3" t="s">
        <v>100</v>
      </c>
      <c r="D181" s="3" t="s">
        <v>40</v>
      </c>
      <c r="E181" s="3" t="s">
        <v>28</v>
      </c>
      <c r="F181" s="3" t="s">
        <v>116</v>
      </c>
      <c r="G181" s="3">
        <v>20</v>
      </c>
      <c r="H181" s="3">
        <v>85000</v>
      </c>
      <c r="I181" s="3">
        <v>25</v>
      </c>
      <c r="J181" s="3">
        <v>1275000</v>
      </c>
      <c r="K181" s="3">
        <v>65000</v>
      </c>
      <c r="L181" s="3">
        <v>1300000</v>
      </c>
      <c r="M181" s="3">
        <v>-25000</v>
      </c>
      <c r="N181" s="3" t="s">
        <v>42</v>
      </c>
      <c r="O181" s="3" t="s">
        <v>43</v>
      </c>
      <c r="P181" s="3" t="s">
        <v>44</v>
      </c>
    </row>
    <row r="182" spans="1:16" x14ac:dyDescent="0.25">
      <c r="A182" s="2" t="s">
        <v>395</v>
      </c>
      <c r="B182" s="2" t="s">
        <v>396</v>
      </c>
      <c r="C182" s="2" t="s">
        <v>100</v>
      </c>
      <c r="D182" s="2" t="s">
        <v>52</v>
      </c>
      <c r="E182" s="2" t="s">
        <v>93</v>
      </c>
      <c r="F182" s="2" t="s">
        <v>94</v>
      </c>
      <c r="G182" s="2">
        <v>2</v>
      </c>
      <c r="H182" s="2">
        <v>1200</v>
      </c>
      <c r="I182" s="2">
        <v>20</v>
      </c>
      <c r="J182" s="2">
        <v>1920</v>
      </c>
      <c r="K182" s="2">
        <v>900</v>
      </c>
      <c r="L182" s="2">
        <v>1800</v>
      </c>
      <c r="M182" s="2">
        <v>120</v>
      </c>
      <c r="N182" s="2" t="s">
        <v>22</v>
      </c>
      <c r="O182" s="2" t="s">
        <v>23</v>
      </c>
      <c r="P182" s="2" t="s">
        <v>44</v>
      </c>
    </row>
    <row r="183" spans="1:16" x14ac:dyDescent="0.25">
      <c r="A183" s="3" t="s">
        <v>397</v>
      </c>
      <c r="B183" s="3" t="s">
        <v>398</v>
      </c>
      <c r="C183" s="3" t="s">
        <v>100</v>
      </c>
      <c r="D183" s="3" t="s">
        <v>74</v>
      </c>
      <c r="E183" s="3" t="s">
        <v>28</v>
      </c>
      <c r="F183" s="3" t="s">
        <v>127</v>
      </c>
      <c r="G183" s="3">
        <v>5</v>
      </c>
      <c r="H183" s="3">
        <v>15000</v>
      </c>
      <c r="I183" s="3">
        <v>20</v>
      </c>
      <c r="J183" s="3">
        <v>60000</v>
      </c>
      <c r="K183" s="3">
        <v>10000</v>
      </c>
      <c r="L183" s="3">
        <v>50000</v>
      </c>
      <c r="M183" s="3">
        <v>10000</v>
      </c>
      <c r="N183" s="3" t="s">
        <v>42</v>
      </c>
      <c r="O183" s="3" t="s">
        <v>66</v>
      </c>
      <c r="P183" s="3" t="s">
        <v>44</v>
      </c>
    </row>
    <row r="184" spans="1:16" x14ac:dyDescent="0.25">
      <c r="A184" s="2" t="s">
        <v>399</v>
      </c>
      <c r="B184" s="2" t="s">
        <v>321</v>
      </c>
      <c r="C184" s="2" t="s">
        <v>33</v>
      </c>
      <c r="D184" s="2" t="s">
        <v>159</v>
      </c>
      <c r="E184" s="2" t="s">
        <v>28</v>
      </c>
      <c r="F184" s="2" t="s">
        <v>116</v>
      </c>
      <c r="G184" s="2">
        <v>16</v>
      </c>
      <c r="H184" s="2">
        <v>85000</v>
      </c>
      <c r="I184" s="2">
        <v>20</v>
      </c>
      <c r="J184" s="2">
        <v>1088000</v>
      </c>
      <c r="K184" s="2">
        <v>65000</v>
      </c>
      <c r="L184" s="2">
        <v>1040000</v>
      </c>
      <c r="M184" s="2">
        <v>48000</v>
      </c>
      <c r="N184" s="2" t="s">
        <v>42</v>
      </c>
      <c r="O184" s="2" t="s">
        <v>30</v>
      </c>
      <c r="P184" s="2" t="s">
        <v>44</v>
      </c>
    </row>
    <row r="185" spans="1:16" x14ac:dyDescent="0.25">
      <c r="A185" s="3" t="s">
        <v>400</v>
      </c>
      <c r="B185" s="3" t="s">
        <v>156</v>
      </c>
      <c r="C185" s="3" t="s">
        <v>122</v>
      </c>
      <c r="D185" s="3" t="s">
        <v>64</v>
      </c>
      <c r="E185" s="3" t="s">
        <v>53</v>
      </c>
      <c r="F185" s="3" t="s">
        <v>85</v>
      </c>
      <c r="G185" s="3">
        <v>16</v>
      </c>
      <c r="H185" s="3">
        <v>1500</v>
      </c>
      <c r="I185" s="3">
        <v>5</v>
      </c>
      <c r="J185" s="3">
        <v>22800</v>
      </c>
      <c r="K185" s="3">
        <v>800</v>
      </c>
      <c r="L185" s="3">
        <v>12800</v>
      </c>
      <c r="M185" s="3">
        <v>10000</v>
      </c>
      <c r="N185" s="3" t="s">
        <v>22</v>
      </c>
      <c r="O185" s="3" t="s">
        <v>36</v>
      </c>
      <c r="P185" s="3" t="s">
        <v>86</v>
      </c>
    </row>
    <row r="186" spans="1:16" x14ac:dyDescent="0.25">
      <c r="A186" s="2" t="s">
        <v>401</v>
      </c>
      <c r="B186" s="2" t="s">
        <v>402</v>
      </c>
      <c r="C186" s="2" t="s">
        <v>92</v>
      </c>
      <c r="D186" s="2" t="s">
        <v>74</v>
      </c>
      <c r="E186" s="2" t="s">
        <v>28</v>
      </c>
      <c r="F186" s="2" t="s">
        <v>274</v>
      </c>
      <c r="G186" s="2">
        <v>12</v>
      </c>
      <c r="H186" s="2">
        <v>35000</v>
      </c>
      <c r="I186" s="2">
        <v>25</v>
      </c>
      <c r="J186" s="2">
        <v>315000</v>
      </c>
      <c r="K186" s="2">
        <v>26000</v>
      </c>
      <c r="L186" s="2">
        <v>312000</v>
      </c>
      <c r="M186" s="2">
        <v>3000</v>
      </c>
      <c r="N186" s="2" t="s">
        <v>22</v>
      </c>
      <c r="O186" s="2" t="s">
        <v>30</v>
      </c>
      <c r="P186" s="2" t="s">
        <v>44</v>
      </c>
    </row>
    <row r="187" spans="1:16" x14ac:dyDescent="0.25">
      <c r="A187" s="3" t="s">
        <v>403</v>
      </c>
      <c r="B187" s="3" t="s">
        <v>404</v>
      </c>
      <c r="C187" s="3" t="s">
        <v>92</v>
      </c>
      <c r="D187" s="3" t="s">
        <v>40</v>
      </c>
      <c r="E187" s="3" t="s">
        <v>20</v>
      </c>
      <c r="F187" s="3" t="s">
        <v>137</v>
      </c>
      <c r="G187" s="3">
        <v>8</v>
      </c>
      <c r="H187" s="3">
        <v>15000</v>
      </c>
      <c r="I187" s="3">
        <v>0</v>
      </c>
      <c r="J187" s="3">
        <v>120000</v>
      </c>
      <c r="K187" s="3">
        <v>10000</v>
      </c>
      <c r="L187" s="3">
        <v>80000</v>
      </c>
      <c r="M187" s="3">
        <v>40000</v>
      </c>
      <c r="N187" s="3" t="s">
        <v>22</v>
      </c>
      <c r="O187" s="3" t="s">
        <v>36</v>
      </c>
      <c r="P187" s="3" t="s">
        <v>44</v>
      </c>
    </row>
    <row r="188" spans="1:16" x14ac:dyDescent="0.25">
      <c r="A188" s="2" t="s">
        <v>405</v>
      </c>
      <c r="B188" s="2" t="s">
        <v>406</v>
      </c>
      <c r="C188" s="2" t="s">
        <v>104</v>
      </c>
      <c r="D188" s="2" t="s">
        <v>52</v>
      </c>
      <c r="E188" s="2" t="s">
        <v>53</v>
      </c>
      <c r="F188" s="2" t="s">
        <v>101</v>
      </c>
      <c r="G188" s="2">
        <v>12</v>
      </c>
      <c r="H188" s="2">
        <v>1200</v>
      </c>
      <c r="I188" s="2">
        <v>15</v>
      </c>
      <c r="J188" s="2">
        <v>12240</v>
      </c>
      <c r="K188" s="2">
        <v>700</v>
      </c>
      <c r="L188" s="2">
        <v>8400</v>
      </c>
      <c r="M188" s="2">
        <v>3840</v>
      </c>
      <c r="N188" s="2" t="s">
        <v>22</v>
      </c>
      <c r="O188" s="2" t="s">
        <v>30</v>
      </c>
      <c r="P188" s="2" t="s">
        <v>86</v>
      </c>
    </row>
    <row r="189" spans="1:16" x14ac:dyDescent="0.25">
      <c r="A189" s="3" t="s">
        <v>407</v>
      </c>
      <c r="B189" s="3" t="s">
        <v>408</v>
      </c>
      <c r="C189" s="3" t="s">
        <v>39</v>
      </c>
      <c r="D189" s="3" t="s">
        <v>27</v>
      </c>
      <c r="E189" s="3" t="s">
        <v>93</v>
      </c>
      <c r="F189" s="3" t="s">
        <v>94</v>
      </c>
      <c r="G189" s="3">
        <v>14</v>
      </c>
      <c r="H189" s="3">
        <v>1200</v>
      </c>
      <c r="I189" s="3">
        <v>15</v>
      </c>
      <c r="J189" s="3">
        <v>14280</v>
      </c>
      <c r="K189" s="3">
        <v>900</v>
      </c>
      <c r="L189" s="3">
        <v>12600</v>
      </c>
      <c r="M189" s="3">
        <v>1680</v>
      </c>
      <c r="N189" s="3" t="s">
        <v>22</v>
      </c>
      <c r="O189" s="3" t="s">
        <v>36</v>
      </c>
      <c r="P189" s="3" t="s">
        <v>56</v>
      </c>
    </row>
    <row r="190" spans="1:16" x14ac:dyDescent="0.25">
      <c r="A190" s="2" t="s">
        <v>409</v>
      </c>
      <c r="B190" s="2" t="s">
        <v>410</v>
      </c>
      <c r="C190" s="2" t="s">
        <v>18</v>
      </c>
      <c r="D190" s="2" t="s">
        <v>74</v>
      </c>
      <c r="E190" s="2" t="s">
        <v>93</v>
      </c>
      <c r="F190" s="2" t="s">
        <v>94</v>
      </c>
      <c r="G190" s="2">
        <v>12</v>
      </c>
      <c r="H190" s="2">
        <v>1200</v>
      </c>
      <c r="I190" s="2">
        <v>5</v>
      </c>
      <c r="J190" s="2">
        <v>13680</v>
      </c>
      <c r="K190" s="2">
        <v>900</v>
      </c>
      <c r="L190" s="2">
        <v>10800</v>
      </c>
      <c r="M190" s="2">
        <v>2880</v>
      </c>
      <c r="N190" s="2" t="s">
        <v>22</v>
      </c>
      <c r="O190" s="2" t="s">
        <v>36</v>
      </c>
      <c r="P190" s="2" t="s">
        <v>44</v>
      </c>
    </row>
    <row r="191" spans="1:16" x14ac:dyDescent="0.25">
      <c r="A191" s="3" t="s">
        <v>411</v>
      </c>
      <c r="B191" s="3" t="s">
        <v>412</v>
      </c>
      <c r="C191" s="3" t="s">
        <v>18</v>
      </c>
      <c r="D191" s="3" t="s">
        <v>40</v>
      </c>
      <c r="E191" s="3" t="s">
        <v>20</v>
      </c>
      <c r="F191" s="3" t="s">
        <v>21</v>
      </c>
      <c r="G191" s="3">
        <v>6</v>
      </c>
      <c r="H191" s="3">
        <v>3500</v>
      </c>
      <c r="I191" s="3">
        <v>10</v>
      </c>
      <c r="J191" s="3">
        <v>18900</v>
      </c>
      <c r="K191" s="3">
        <v>2000</v>
      </c>
      <c r="L191" s="3">
        <v>12000</v>
      </c>
      <c r="M191" s="3">
        <v>6900</v>
      </c>
      <c r="N191" s="3" t="s">
        <v>22</v>
      </c>
      <c r="O191" s="3" t="s">
        <v>55</v>
      </c>
      <c r="P191" s="3" t="s">
        <v>95</v>
      </c>
    </row>
    <row r="192" spans="1:16" x14ac:dyDescent="0.25">
      <c r="A192" s="2" t="s">
        <v>413</v>
      </c>
      <c r="B192" s="2" t="s">
        <v>414</v>
      </c>
      <c r="C192" s="2" t="s">
        <v>39</v>
      </c>
      <c r="D192" s="2" t="s">
        <v>159</v>
      </c>
      <c r="E192" s="2" t="s">
        <v>20</v>
      </c>
      <c r="F192" s="2" t="s">
        <v>21</v>
      </c>
      <c r="G192" s="2">
        <v>18</v>
      </c>
      <c r="H192" s="2">
        <v>3500</v>
      </c>
      <c r="I192" s="2">
        <v>10</v>
      </c>
      <c r="J192" s="2">
        <v>56700</v>
      </c>
      <c r="K192" s="2">
        <v>2000</v>
      </c>
      <c r="L192" s="2">
        <v>36000</v>
      </c>
      <c r="M192" s="2">
        <v>20700</v>
      </c>
      <c r="N192" s="2" t="s">
        <v>22</v>
      </c>
      <c r="O192" s="2" t="s">
        <v>23</v>
      </c>
      <c r="P192" s="2" t="s">
        <v>44</v>
      </c>
    </row>
    <row r="193" spans="1:16" x14ac:dyDescent="0.25">
      <c r="A193" s="3" t="s">
        <v>415</v>
      </c>
      <c r="B193" s="3" t="s">
        <v>416</v>
      </c>
      <c r="C193" s="3" t="s">
        <v>18</v>
      </c>
      <c r="D193" s="3" t="s">
        <v>40</v>
      </c>
      <c r="E193" s="3" t="s">
        <v>53</v>
      </c>
      <c r="F193" s="3" t="s">
        <v>101</v>
      </c>
      <c r="G193" s="3">
        <v>5</v>
      </c>
      <c r="H193" s="3">
        <v>1200</v>
      </c>
      <c r="I193" s="3">
        <v>5</v>
      </c>
      <c r="J193" s="3">
        <v>5700</v>
      </c>
      <c r="K193" s="3">
        <v>700</v>
      </c>
      <c r="L193" s="3">
        <v>3500</v>
      </c>
      <c r="M193" s="3">
        <v>2200</v>
      </c>
      <c r="N193" s="3" t="s">
        <v>42</v>
      </c>
      <c r="O193" s="3" t="s">
        <v>30</v>
      </c>
      <c r="P193" s="3" t="s">
        <v>44</v>
      </c>
    </row>
    <row r="194" spans="1:16" x14ac:dyDescent="0.25">
      <c r="A194" s="2" t="s">
        <v>417</v>
      </c>
      <c r="B194" s="2" t="s">
        <v>273</v>
      </c>
      <c r="C194" s="2" t="s">
        <v>18</v>
      </c>
      <c r="D194" s="2" t="s">
        <v>19</v>
      </c>
      <c r="E194" s="2" t="s">
        <v>53</v>
      </c>
      <c r="F194" s="2" t="s">
        <v>85</v>
      </c>
      <c r="G194" s="2">
        <v>7</v>
      </c>
      <c r="H194" s="2">
        <v>1500</v>
      </c>
      <c r="I194" s="2">
        <v>20</v>
      </c>
      <c r="J194" s="2">
        <v>8400</v>
      </c>
      <c r="K194" s="2">
        <v>800</v>
      </c>
      <c r="L194" s="2">
        <v>5600</v>
      </c>
      <c r="M194" s="2">
        <v>2800</v>
      </c>
      <c r="N194" s="2" t="s">
        <v>42</v>
      </c>
      <c r="O194" s="2" t="s">
        <v>30</v>
      </c>
      <c r="P194" s="2" t="s">
        <v>24</v>
      </c>
    </row>
    <row r="195" spans="1:16" x14ac:dyDescent="0.25">
      <c r="A195" s="3" t="s">
        <v>418</v>
      </c>
      <c r="B195" s="3" t="s">
        <v>277</v>
      </c>
      <c r="C195" s="3" t="s">
        <v>63</v>
      </c>
      <c r="D195" s="3" t="s">
        <v>48</v>
      </c>
      <c r="E195" s="3" t="s">
        <v>20</v>
      </c>
      <c r="F195" s="3" t="s">
        <v>59</v>
      </c>
      <c r="G195" s="3">
        <v>8</v>
      </c>
      <c r="H195" s="3">
        <v>12000</v>
      </c>
      <c r="I195" s="3">
        <v>25</v>
      </c>
      <c r="J195" s="3">
        <v>72000</v>
      </c>
      <c r="K195" s="3">
        <v>8000</v>
      </c>
      <c r="L195" s="3">
        <v>64000</v>
      </c>
      <c r="M195" s="3">
        <v>8000</v>
      </c>
      <c r="N195" s="3" t="s">
        <v>42</v>
      </c>
      <c r="O195" s="3" t="s">
        <v>55</v>
      </c>
      <c r="P195" s="3" t="s">
        <v>44</v>
      </c>
    </row>
    <row r="196" spans="1:16" x14ac:dyDescent="0.25">
      <c r="A196" s="2" t="s">
        <v>419</v>
      </c>
      <c r="B196" s="2" t="s">
        <v>420</v>
      </c>
      <c r="C196" s="2" t="s">
        <v>104</v>
      </c>
      <c r="D196" s="2" t="s">
        <v>40</v>
      </c>
      <c r="E196" s="2" t="s">
        <v>93</v>
      </c>
      <c r="F196" s="2" t="s">
        <v>109</v>
      </c>
      <c r="G196" s="2">
        <v>16</v>
      </c>
      <c r="H196" s="2">
        <v>700</v>
      </c>
      <c r="I196" s="2">
        <v>15</v>
      </c>
      <c r="J196" s="2">
        <v>9520</v>
      </c>
      <c r="K196" s="2">
        <v>500</v>
      </c>
      <c r="L196" s="2">
        <v>8000</v>
      </c>
      <c r="M196" s="2">
        <v>1520</v>
      </c>
      <c r="N196" s="2" t="s">
        <v>22</v>
      </c>
      <c r="O196" s="2" t="s">
        <v>55</v>
      </c>
      <c r="P196" s="2" t="s">
        <v>24</v>
      </c>
    </row>
    <row r="197" spans="1:16" x14ac:dyDescent="0.25">
      <c r="A197" s="3" t="s">
        <v>421</v>
      </c>
      <c r="B197" s="3" t="s">
        <v>336</v>
      </c>
      <c r="C197" s="3" t="s">
        <v>100</v>
      </c>
      <c r="D197" s="3" t="s">
        <v>52</v>
      </c>
      <c r="E197" s="3" t="s">
        <v>93</v>
      </c>
      <c r="F197" s="3" t="s">
        <v>188</v>
      </c>
      <c r="G197" s="3">
        <v>12</v>
      </c>
      <c r="H197" s="3">
        <v>1500</v>
      </c>
      <c r="I197" s="3">
        <v>20</v>
      </c>
      <c r="J197" s="3">
        <v>14400</v>
      </c>
      <c r="K197" s="3">
        <v>1100</v>
      </c>
      <c r="L197" s="3">
        <v>13200</v>
      </c>
      <c r="M197" s="3">
        <v>1200</v>
      </c>
      <c r="N197" s="3" t="s">
        <v>22</v>
      </c>
      <c r="O197" s="3" t="s">
        <v>55</v>
      </c>
      <c r="P197" s="3" t="s">
        <v>44</v>
      </c>
    </row>
    <row r="198" spans="1:16" x14ac:dyDescent="0.25">
      <c r="A198" s="2" t="s">
        <v>422</v>
      </c>
      <c r="B198" s="2" t="s">
        <v>423</v>
      </c>
      <c r="C198" s="2" t="s">
        <v>39</v>
      </c>
      <c r="D198" s="2" t="s">
        <v>74</v>
      </c>
      <c r="E198" s="2" t="s">
        <v>34</v>
      </c>
      <c r="F198" s="2" t="s">
        <v>146</v>
      </c>
      <c r="G198" s="2">
        <v>4</v>
      </c>
      <c r="H198" s="2">
        <v>3500</v>
      </c>
      <c r="I198" s="2">
        <v>0</v>
      </c>
      <c r="J198" s="2">
        <v>14000</v>
      </c>
      <c r="K198" s="2">
        <v>1800</v>
      </c>
      <c r="L198" s="2">
        <v>7200</v>
      </c>
      <c r="M198" s="2">
        <v>6800</v>
      </c>
      <c r="N198" s="2" t="s">
        <v>42</v>
      </c>
      <c r="O198" s="2" t="s">
        <v>66</v>
      </c>
      <c r="P198" s="2" t="s">
        <v>86</v>
      </c>
    </row>
    <row r="199" spans="1:16" x14ac:dyDescent="0.25">
      <c r="A199" s="3" t="s">
        <v>424</v>
      </c>
      <c r="B199" s="3" t="s">
        <v>187</v>
      </c>
      <c r="C199" s="3" t="s">
        <v>33</v>
      </c>
      <c r="D199" s="3" t="s">
        <v>40</v>
      </c>
      <c r="E199" s="3" t="s">
        <v>20</v>
      </c>
      <c r="F199" s="3" t="s">
        <v>137</v>
      </c>
      <c r="G199" s="3">
        <v>11</v>
      </c>
      <c r="H199" s="3">
        <v>15000</v>
      </c>
      <c r="I199" s="3">
        <v>5</v>
      </c>
      <c r="J199" s="3">
        <v>156750</v>
      </c>
      <c r="K199" s="3">
        <v>10000</v>
      </c>
      <c r="L199" s="3">
        <v>110000</v>
      </c>
      <c r="M199" s="3">
        <v>46750</v>
      </c>
      <c r="N199" s="3" t="s">
        <v>22</v>
      </c>
      <c r="O199" s="3" t="s">
        <v>66</v>
      </c>
      <c r="P199" s="3" t="s">
        <v>56</v>
      </c>
    </row>
    <row r="200" spans="1:16" x14ac:dyDescent="0.25">
      <c r="A200" s="2" t="s">
        <v>425</v>
      </c>
      <c r="B200" s="2" t="s">
        <v>426</v>
      </c>
      <c r="C200" s="2" t="s">
        <v>122</v>
      </c>
      <c r="D200" s="2" t="s">
        <v>48</v>
      </c>
      <c r="E200" s="2" t="s">
        <v>93</v>
      </c>
      <c r="F200" s="2" t="s">
        <v>119</v>
      </c>
      <c r="G200" s="2">
        <v>3</v>
      </c>
      <c r="H200" s="2">
        <v>800</v>
      </c>
      <c r="I200" s="2">
        <v>15</v>
      </c>
      <c r="J200" s="2">
        <v>2040</v>
      </c>
      <c r="K200" s="2">
        <v>600</v>
      </c>
      <c r="L200" s="2">
        <v>1800</v>
      </c>
      <c r="M200" s="2">
        <v>240</v>
      </c>
      <c r="N200" s="2" t="s">
        <v>42</v>
      </c>
      <c r="O200" s="2" t="s">
        <v>36</v>
      </c>
      <c r="P200" s="2" t="s">
        <v>44</v>
      </c>
    </row>
    <row r="201" spans="1:16" x14ac:dyDescent="0.25">
      <c r="A201" s="3" t="s">
        <v>427</v>
      </c>
      <c r="B201" s="3" t="s">
        <v>219</v>
      </c>
      <c r="C201" s="3" t="s">
        <v>104</v>
      </c>
      <c r="D201" s="3" t="s">
        <v>19</v>
      </c>
      <c r="E201" s="3" t="s">
        <v>20</v>
      </c>
      <c r="F201" s="3" t="s">
        <v>59</v>
      </c>
      <c r="G201" s="3">
        <v>20</v>
      </c>
      <c r="H201" s="3">
        <v>12000</v>
      </c>
      <c r="I201" s="3">
        <v>25</v>
      </c>
      <c r="J201" s="3">
        <v>180000</v>
      </c>
      <c r="K201" s="3">
        <v>8000</v>
      </c>
      <c r="L201" s="3">
        <v>160000</v>
      </c>
      <c r="M201" s="3">
        <v>20000</v>
      </c>
      <c r="N201" s="3" t="s">
        <v>42</v>
      </c>
      <c r="O201" s="3" t="s">
        <v>55</v>
      </c>
      <c r="P201" s="3" t="s">
        <v>44</v>
      </c>
    </row>
    <row r="202" spans="1:16" x14ac:dyDescent="0.25">
      <c r="A202" s="2" t="s">
        <v>428</v>
      </c>
      <c r="B202" s="2" t="s">
        <v>429</v>
      </c>
      <c r="C202" s="2" t="s">
        <v>77</v>
      </c>
      <c r="D202" s="2" t="s">
        <v>40</v>
      </c>
      <c r="E202" s="2" t="s">
        <v>20</v>
      </c>
      <c r="F202" s="2" t="s">
        <v>182</v>
      </c>
      <c r="G202" s="2">
        <v>13</v>
      </c>
      <c r="H202" s="2">
        <v>5000</v>
      </c>
      <c r="I202" s="2">
        <v>10</v>
      </c>
      <c r="J202" s="2">
        <v>58500</v>
      </c>
      <c r="K202" s="2">
        <v>3000</v>
      </c>
      <c r="L202" s="2">
        <v>39000</v>
      </c>
      <c r="M202" s="2">
        <v>19500</v>
      </c>
      <c r="N202" s="2" t="s">
        <v>22</v>
      </c>
      <c r="O202" s="2" t="s">
        <v>66</v>
      </c>
      <c r="P202" s="2" t="s">
        <v>44</v>
      </c>
    </row>
    <row r="203" spans="1:16" x14ac:dyDescent="0.25">
      <c r="A203" s="3" t="s">
        <v>430</v>
      </c>
      <c r="B203" s="3" t="s">
        <v>32</v>
      </c>
      <c r="C203" s="3" t="s">
        <v>33</v>
      </c>
      <c r="D203" s="3" t="s">
        <v>52</v>
      </c>
      <c r="E203" s="3" t="s">
        <v>53</v>
      </c>
      <c r="F203" s="3" t="s">
        <v>85</v>
      </c>
      <c r="G203" s="3">
        <v>3</v>
      </c>
      <c r="H203" s="3">
        <v>1500</v>
      </c>
      <c r="I203" s="3">
        <v>15</v>
      </c>
      <c r="J203" s="3">
        <v>3825</v>
      </c>
      <c r="K203" s="3">
        <v>800</v>
      </c>
      <c r="L203" s="3">
        <v>2400</v>
      </c>
      <c r="M203" s="3">
        <v>1425</v>
      </c>
      <c r="N203" s="3" t="s">
        <v>42</v>
      </c>
      <c r="O203" s="3" t="s">
        <v>30</v>
      </c>
      <c r="P203" s="3" t="s">
        <v>44</v>
      </c>
    </row>
    <row r="204" spans="1:16" x14ac:dyDescent="0.25">
      <c r="A204" s="2" t="s">
        <v>431</v>
      </c>
      <c r="B204" s="2" t="s">
        <v>432</v>
      </c>
      <c r="C204" s="2" t="s">
        <v>47</v>
      </c>
      <c r="D204" s="2" t="s">
        <v>159</v>
      </c>
      <c r="E204" s="2" t="s">
        <v>34</v>
      </c>
      <c r="F204" s="2" t="s">
        <v>196</v>
      </c>
      <c r="G204" s="2">
        <v>13</v>
      </c>
      <c r="H204" s="2">
        <v>2500</v>
      </c>
      <c r="I204" s="2">
        <v>10</v>
      </c>
      <c r="J204" s="2">
        <v>29250</v>
      </c>
      <c r="K204" s="2">
        <v>1200</v>
      </c>
      <c r="L204" s="2">
        <v>15600</v>
      </c>
      <c r="M204" s="2">
        <v>13650</v>
      </c>
      <c r="N204" s="2" t="s">
        <v>42</v>
      </c>
      <c r="O204" s="2" t="s">
        <v>30</v>
      </c>
      <c r="P204" s="2" t="s">
        <v>95</v>
      </c>
    </row>
    <row r="205" spans="1:16" x14ac:dyDescent="0.25">
      <c r="A205" s="3" t="s">
        <v>433</v>
      </c>
      <c r="B205" s="3" t="s">
        <v>324</v>
      </c>
      <c r="C205" s="3" t="s">
        <v>33</v>
      </c>
      <c r="D205" s="3" t="s">
        <v>27</v>
      </c>
      <c r="E205" s="3" t="s">
        <v>53</v>
      </c>
      <c r="F205" s="3" t="s">
        <v>82</v>
      </c>
      <c r="G205" s="3">
        <v>2</v>
      </c>
      <c r="H205" s="3">
        <v>4000</v>
      </c>
      <c r="I205" s="3">
        <v>0</v>
      </c>
      <c r="J205" s="3">
        <v>8000</v>
      </c>
      <c r="K205" s="3">
        <v>2500</v>
      </c>
      <c r="L205" s="3">
        <v>5000</v>
      </c>
      <c r="M205" s="3">
        <v>3000</v>
      </c>
      <c r="N205" s="3" t="s">
        <v>22</v>
      </c>
      <c r="O205" s="3" t="s">
        <v>23</v>
      </c>
      <c r="P205" s="3" t="s">
        <v>44</v>
      </c>
    </row>
    <row r="206" spans="1:16" x14ac:dyDescent="0.25">
      <c r="A206" s="2" t="s">
        <v>434</v>
      </c>
      <c r="B206" s="2" t="s">
        <v>435</v>
      </c>
      <c r="C206" s="2" t="s">
        <v>63</v>
      </c>
      <c r="D206" s="2" t="s">
        <v>74</v>
      </c>
      <c r="E206" s="2" t="s">
        <v>34</v>
      </c>
      <c r="F206" s="2" t="s">
        <v>89</v>
      </c>
      <c r="G206" s="2">
        <v>17</v>
      </c>
      <c r="H206" s="2">
        <v>4500</v>
      </c>
      <c r="I206" s="2">
        <v>5</v>
      </c>
      <c r="J206" s="2">
        <v>72675</v>
      </c>
      <c r="K206" s="2">
        <v>2500</v>
      </c>
      <c r="L206" s="2">
        <v>42500</v>
      </c>
      <c r="M206" s="2">
        <v>30175</v>
      </c>
      <c r="N206" s="2" t="s">
        <v>42</v>
      </c>
      <c r="O206" s="2" t="s">
        <v>30</v>
      </c>
      <c r="P206" s="2" t="s">
        <v>44</v>
      </c>
    </row>
    <row r="207" spans="1:16" x14ac:dyDescent="0.25">
      <c r="A207" s="3" t="s">
        <v>436</v>
      </c>
      <c r="B207" s="3" t="s">
        <v>437</v>
      </c>
      <c r="C207" s="3" t="s">
        <v>47</v>
      </c>
      <c r="D207" s="3" t="s">
        <v>48</v>
      </c>
      <c r="E207" s="3" t="s">
        <v>53</v>
      </c>
      <c r="F207" s="3" t="s">
        <v>85</v>
      </c>
      <c r="G207" s="3">
        <v>17</v>
      </c>
      <c r="H207" s="3">
        <v>1500</v>
      </c>
      <c r="I207" s="3">
        <v>20</v>
      </c>
      <c r="J207" s="3">
        <v>20400</v>
      </c>
      <c r="K207" s="3">
        <v>800</v>
      </c>
      <c r="L207" s="3">
        <v>13600</v>
      </c>
      <c r="M207" s="3">
        <v>6800</v>
      </c>
      <c r="N207" s="3" t="s">
        <v>42</v>
      </c>
      <c r="O207" s="3" t="s">
        <v>23</v>
      </c>
      <c r="P207" s="3" t="s">
        <v>44</v>
      </c>
    </row>
    <row r="208" spans="1:16" x14ac:dyDescent="0.25">
      <c r="A208" s="2" t="s">
        <v>438</v>
      </c>
      <c r="B208" s="2" t="s">
        <v>179</v>
      </c>
      <c r="C208" s="2" t="s">
        <v>104</v>
      </c>
      <c r="D208" s="2" t="s">
        <v>52</v>
      </c>
      <c r="E208" s="2" t="s">
        <v>20</v>
      </c>
      <c r="F208" s="2" t="s">
        <v>65</v>
      </c>
      <c r="G208" s="2">
        <v>14</v>
      </c>
      <c r="H208" s="2">
        <v>18000</v>
      </c>
      <c r="I208" s="2">
        <v>20</v>
      </c>
      <c r="J208" s="2">
        <v>201600</v>
      </c>
      <c r="K208" s="2">
        <v>12000</v>
      </c>
      <c r="L208" s="2">
        <v>168000</v>
      </c>
      <c r="M208" s="2">
        <v>33600</v>
      </c>
      <c r="N208" s="2" t="s">
        <v>42</v>
      </c>
      <c r="O208" s="2" t="s">
        <v>23</v>
      </c>
      <c r="P208" s="2" t="s">
        <v>86</v>
      </c>
    </row>
    <row r="209" spans="1:16" x14ac:dyDescent="0.25">
      <c r="A209" s="3" t="s">
        <v>439</v>
      </c>
      <c r="B209" s="3" t="s">
        <v>173</v>
      </c>
      <c r="C209" s="3" t="s">
        <v>104</v>
      </c>
      <c r="D209" s="3" t="s">
        <v>74</v>
      </c>
      <c r="E209" s="3" t="s">
        <v>20</v>
      </c>
      <c r="F209" s="3" t="s">
        <v>137</v>
      </c>
      <c r="G209" s="3">
        <v>19</v>
      </c>
      <c r="H209" s="3">
        <v>15000</v>
      </c>
      <c r="I209" s="3">
        <v>5</v>
      </c>
      <c r="J209" s="3">
        <v>270750</v>
      </c>
      <c r="K209" s="3">
        <v>10000</v>
      </c>
      <c r="L209" s="3">
        <v>190000</v>
      </c>
      <c r="M209" s="3">
        <v>80750</v>
      </c>
      <c r="N209" s="3" t="s">
        <v>22</v>
      </c>
      <c r="O209" s="3" t="s">
        <v>30</v>
      </c>
      <c r="P209" s="3" t="s">
        <v>44</v>
      </c>
    </row>
    <row r="210" spans="1:16" x14ac:dyDescent="0.25">
      <c r="A210" s="2" t="s">
        <v>440</v>
      </c>
      <c r="B210" s="2" t="s">
        <v>339</v>
      </c>
      <c r="C210" s="2" t="s">
        <v>47</v>
      </c>
      <c r="D210" s="2" t="s">
        <v>27</v>
      </c>
      <c r="E210" s="2" t="s">
        <v>34</v>
      </c>
      <c r="F210" s="2" t="s">
        <v>146</v>
      </c>
      <c r="G210" s="2">
        <v>2</v>
      </c>
      <c r="H210" s="2">
        <v>3500</v>
      </c>
      <c r="I210" s="2">
        <v>20</v>
      </c>
      <c r="J210" s="2">
        <v>5600</v>
      </c>
      <c r="K210" s="2">
        <v>1800</v>
      </c>
      <c r="L210" s="2">
        <v>3600</v>
      </c>
      <c r="M210" s="2">
        <v>2000</v>
      </c>
      <c r="N210" s="2" t="s">
        <v>22</v>
      </c>
      <c r="O210" s="2" t="s">
        <v>36</v>
      </c>
      <c r="P210" s="2" t="s">
        <v>44</v>
      </c>
    </row>
    <row r="211" spans="1:16" x14ac:dyDescent="0.25">
      <c r="A211" s="3" t="s">
        <v>441</v>
      </c>
      <c r="B211" s="3" t="s">
        <v>336</v>
      </c>
      <c r="C211" s="3" t="s">
        <v>77</v>
      </c>
      <c r="D211" s="3" t="s">
        <v>40</v>
      </c>
      <c r="E211" s="3" t="s">
        <v>93</v>
      </c>
      <c r="F211" s="3" t="s">
        <v>188</v>
      </c>
      <c r="G211" s="3">
        <v>14</v>
      </c>
      <c r="H211" s="3">
        <v>1500</v>
      </c>
      <c r="I211" s="3">
        <v>20</v>
      </c>
      <c r="J211" s="3">
        <v>16800</v>
      </c>
      <c r="K211" s="3">
        <v>1100</v>
      </c>
      <c r="L211" s="3">
        <v>15400</v>
      </c>
      <c r="M211" s="3">
        <v>1400</v>
      </c>
      <c r="N211" s="3" t="s">
        <v>42</v>
      </c>
      <c r="O211" s="3" t="s">
        <v>23</v>
      </c>
      <c r="P211" s="3" t="s">
        <v>24</v>
      </c>
    </row>
    <row r="212" spans="1:16" x14ac:dyDescent="0.25">
      <c r="A212" s="2" t="s">
        <v>442</v>
      </c>
      <c r="B212" s="2" t="s">
        <v>443</v>
      </c>
      <c r="C212" s="2" t="s">
        <v>92</v>
      </c>
      <c r="D212" s="2" t="s">
        <v>64</v>
      </c>
      <c r="E212" s="2" t="s">
        <v>53</v>
      </c>
      <c r="F212" s="2" t="s">
        <v>85</v>
      </c>
      <c r="G212" s="2">
        <v>16</v>
      </c>
      <c r="H212" s="2">
        <v>1500</v>
      </c>
      <c r="I212" s="2">
        <v>20</v>
      </c>
      <c r="J212" s="2">
        <v>19200</v>
      </c>
      <c r="K212" s="2">
        <v>800</v>
      </c>
      <c r="L212" s="2">
        <v>12800</v>
      </c>
      <c r="M212" s="2">
        <v>6400</v>
      </c>
      <c r="N212" s="2" t="s">
        <v>42</v>
      </c>
      <c r="O212" s="2" t="s">
        <v>55</v>
      </c>
      <c r="P212" s="2" t="s">
        <v>95</v>
      </c>
    </row>
    <row r="213" spans="1:16" x14ac:dyDescent="0.25">
      <c r="A213" s="3" t="s">
        <v>444</v>
      </c>
      <c r="B213" s="3" t="s">
        <v>152</v>
      </c>
      <c r="C213" s="3" t="s">
        <v>63</v>
      </c>
      <c r="D213" s="3" t="s">
        <v>52</v>
      </c>
      <c r="E213" s="3" t="s">
        <v>53</v>
      </c>
      <c r="F213" s="3" t="s">
        <v>85</v>
      </c>
      <c r="G213" s="3">
        <v>9</v>
      </c>
      <c r="H213" s="3">
        <v>1500</v>
      </c>
      <c r="I213" s="3">
        <v>20</v>
      </c>
      <c r="J213" s="3">
        <v>10800</v>
      </c>
      <c r="K213" s="3">
        <v>800</v>
      </c>
      <c r="L213" s="3">
        <v>7200</v>
      </c>
      <c r="M213" s="3">
        <v>3600</v>
      </c>
      <c r="N213" s="3" t="s">
        <v>42</v>
      </c>
      <c r="O213" s="3" t="s">
        <v>36</v>
      </c>
      <c r="P213" s="3" t="s">
        <v>95</v>
      </c>
    </row>
    <row r="214" spans="1:16" x14ac:dyDescent="0.25">
      <c r="A214" s="2" t="s">
        <v>445</v>
      </c>
      <c r="B214" s="2" t="s">
        <v>321</v>
      </c>
      <c r="C214" s="2" t="s">
        <v>63</v>
      </c>
      <c r="D214" s="2" t="s">
        <v>48</v>
      </c>
      <c r="E214" s="2" t="s">
        <v>34</v>
      </c>
      <c r="F214" s="2" t="s">
        <v>41</v>
      </c>
      <c r="G214" s="2">
        <v>10</v>
      </c>
      <c r="H214" s="2">
        <v>3000</v>
      </c>
      <c r="I214" s="2">
        <v>25</v>
      </c>
      <c r="J214" s="2">
        <v>22500</v>
      </c>
      <c r="K214" s="2">
        <v>1500</v>
      </c>
      <c r="L214" s="2">
        <v>15000</v>
      </c>
      <c r="M214" s="2">
        <v>7500</v>
      </c>
      <c r="N214" s="2" t="s">
        <v>22</v>
      </c>
      <c r="O214" s="2" t="s">
        <v>23</v>
      </c>
      <c r="P214" s="2" t="s">
        <v>24</v>
      </c>
    </row>
    <row r="215" spans="1:16" x14ac:dyDescent="0.25">
      <c r="A215" s="3" t="s">
        <v>446</v>
      </c>
      <c r="B215" s="3" t="s">
        <v>447</v>
      </c>
      <c r="C215" s="3" t="s">
        <v>122</v>
      </c>
      <c r="D215" s="3" t="s">
        <v>52</v>
      </c>
      <c r="E215" s="3" t="s">
        <v>53</v>
      </c>
      <c r="F215" s="3" t="s">
        <v>85</v>
      </c>
      <c r="G215" s="3">
        <v>10</v>
      </c>
      <c r="H215" s="3">
        <v>1500</v>
      </c>
      <c r="I215" s="3">
        <v>0</v>
      </c>
      <c r="J215" s="3">
        <v>15000</v>
      </c>
      <c r="K215" s="3">
        <v>800</v>
      </c>
      <c r="L215" s="3">
        <v>8000</v>
      </c>
      <c r="M215" s="3">
        <v>7000</v>
      </c>
      <c r="N215" s="3" t="s">
        <v>42</v>
      </c>
      <c r="O215" s="3" t="s">
        <v>66</v>
      </c>
      <c r="P215" s="3" t="s">
        <v>86</v>
      </c>
    </row>
    <row r="216" spans="1:16" x14ac:dyDescent="0.25">
      <c r="A216" s="2" t="s">
        <v>448</v>
      </c>
      <c r="B216" s="2" t="s">
        <v>303</v>
      </c>
      <c r="C216" s="2" t="s">
        <v>39</v>
      </c>
      <c r="D216" s="2" t="s">
        <v>19</v>
      </c>
      <c r="E216" s="2" t="s">
        <v>20</v>
      </c>
      <c r="F216" s="2" t="s">
        <v>65</v>
      </c>
      <c r="G216" s="2">
        <v>12</v>
      </c>
      <c r="H216" s="2">
        <v>18000</v>
      </c>
      <c r="I216" s="2">
        <v>15</v>
      </c>
      <c r="J216" s="2">
        <v>183600</v>
      </c>
      <c r="K216" s="2">
        <v>12000</v>
      </c>
      <c r="L216" s="2">
        <v>144000</v>
      </c>
      <c r="M216" s="2">
        <v>39600</v>
      </c>
      <c r="N216" s="2" t="s">
        <v>42</v>
      </c>
      <c r="O216" s="2" t="s">
        <v>23</v>
      </c>
      <c r="P216" s="2" t="s">
        <v>44</v>
      </c>
    </row>
    <row r="217" spans="1:16" x14ac:dyDescent="0.25">
      <c r="A217" s="3" t="s">
        <v>449</v>
      </c>
      <c r="B217" s="3" t="s">
        <v>450</v>
      </c>
      <c r="C217" s="3" t="s">
        <v>63</v>
      </c>
      <c r="D217" s="3" t="s">
        <v>48</v>
      </c>
      <c r="E217" s="3" t="s">
        <v>53</v>
      </c>
      <c r="F217" s="3" t="s">
        <v>85</v>
      </c>
      <c r="G217" s="3">
        <v>5</v>
      </c>
      <c r="H217" s="3">
        <v>1500</v>
      </c>
      <c r="I217" s="3">
        <v>0</v>
      </c>
      <c r="J217" s="3">
        <v>7500</v>
      </c>
      <c r="K217" s="3">
        <v>800</v>
      </c>
      <c r="L217" s="3">
        <v>4000</v>
      </c>
      <c r="M217" s="3">
        <v>3500</v>
      </c>
      <c r="N217" s="3" t="s">
        <v>22</v>
      </c>
      <c r="O217" s="3" t="s">
        <v>36</v>
      </c>
      <c r="P217" s="3" t="s">
        <v>44</v>
      </c>
    </row>
    <row r="218" spans="1:16" x14ac:dyDescent="0.25">
      <c r="A218" s="2" t="s">
        <v>451</v>
      </c>
      <c r="B218" s="2" t="s">
        <v>452</v>
      </c>
      <c r="C218" s="2" t="s">
        <v>33</v>
      </c>
      <c r="D218" s="2" t="s">
        <v>64</v>
      </c>
      <c r="E218" s="2" t="s">
        <v>28</v>
      </c>
      <c r="F218" s="2" t="s">
        <v>29</v>
      </c>
      <c r="G218" s="2">
        <v>14</v>
      </c>
      <c r="H218" s="2">
        <v>25000</v>
      </c>
      <c r="I218" s="2">
        <v>10</v>
      </c>
      <c r="J218" s="2">
        <v>315000</v>
      </c>
      <c r="K218" s="2">
        <v>18000</v>
      </c>
      <c r="L218" s="2">
        <v>252000</v>
      </c>
      <c r="M218" s="2">
        <v>63000</v>
      </c>
      <c r="N218" s="2" t="s">
        <v>42</v>
      </c>
      <c r="O218" s="2" t="s">
        <v>43</v>
      </c>
      <c r="P218" s="2" t="s">
        <v>24</v>
      </c>
    </row>
    <row r="219" spans="1:16" x14ac:dyDescent="0.25">
      <c r="A219" s="3" t="s">
        <v>453</v>
      </c>
      <c r="B219" s="3" t="s">
        <v>73</v>
      </c>
      <c r="C219" s="3" t="s">
        <v>104</v>
      </c>
      <c r="D219" s="3" t="s">
        <v>40</v>
      </c>
      <c r="E219" s="3" t="s">
        <v>93</v>
      </c>
      <c r="F219" s="3" t="s">
        <v>109</v>
      </c>
      <c r="G219" s="3">
        <v>16</v>
      </c>
      <c r="H219" s="3">
        <v>700</v>
      </c>
      <c r="I219" s="3">
        <v>25</v>
      </c>
      <c r="J219" s="3">
        <v>8400</v>
      </c>
      <c r="K219" s="3">
        <v>500</v>
      </c>
      <c r="L219" s="3">
        <v>8000</v>
      </c>
      <c r="M219" s="3">
        <v>400</v>
      </c>
      <c r="N219" s="3" t="s">
        <v>22</v>
      </c>
      <c r="O219" s="3" t="s">
        <v>55</v>
      </c>
      <c r="P219" s="3" t="s">
        <v>44</v>
      </c>
    </row>
    <row r="220" spans="1:16" x14ac:dyDescent="0.25">
      <c r="A220" s="2" t="s">
        <v>454</v>
      </c>
      <c r="B220" s="2" t="s">
        <v>111</v>
      </c>
      <c r="C220" s="2" t="s">
        <v>104</v>
      </c>
      <c r="D220" s="2" t="s">
        <v>159</v>
      </c>
      <c r="E220" s="2" t="s">
        <v>53</v>
      </c>
      <c r="F220" s="2" t="s">
        <v>54</v>
      </c>
      <c r="G220" s="2">
        <v>18</v>
      </c>
      <c r="H220" s="2">
        <v>2000</v>
      </c>
      <c r="I220" s="2">
        <v>25</v>
      </c>
      <c r="J220" s="2">
        <v>27000</v>
      </c>
      <c r="K220" s="2">
        <v>1200</v>
      </c>
      <c r="L220" s="2">
        <v>21600</v>
      </c>
      <c r="M220" s="2">
        <v>5400</v>
      </c>
      <c r="N220" s="2" t="s">
        <v>22</v>
      </c>
      <c r="O220" s="2" t="s">
        <v>36</v>
      </c>
      <c r="P220" s="2" t="s">
        <v>44</v>
      </c>
    </row>
    <row r="221" spans="1:16" x14ac:dyDescent="0.25">
      <c r="A221" s="3" t="s">
        <v>455</v>
      </c>
      <c r="B221" s="3" t="s">
        <v>207</v>
      </c>
      <c r="C221" s="3" t="s">
        <v>104</v>
      </c>
      <c r="D221" s="3" t="s">
        <v>27</v>
      </c>
      <c r="E221" s="3" t="s">
        <v>93</v>
      </c>
      <c r="F221" s="3" t="s">
        <v>188</v>
      </c>
      <c r="G221" s="3">
        <v>10</v>
      </c>
      <c r="H221" s="3">
        <v>1500</v>
      </c>
      <c r="I221" s="3">
        <v>0</v>
      </c>
      <c r="J221" s="3">
        <v>15000</v>
      </c>
      <c r="K221" s="3">
        <v>1100</v>
      </c>
      <c r="L221" s="3">
        <v>11000</v>
      </c>
      <c r="M221" s="3">
        <v>4000</v>
      </c>
      <c r="N221" s="3" t="s">
        <v>22</v>
      </c>
      <c r="O221" s="3" t="s">
        <v>55</v>
      </c>
      <c r="P221" s="3" t="s">
        <v>44</v>
      </c>
    </row>
    <row r="222" spans="1:16" x14ac:dyDescent="0.25">
      <c r="A222" s="2" t="s">
        <v>456</v>
      </c>
      <c r="B222" s="2" t="s">
        <v>175</v>
      </c>
      <c r="C222" s="2" t="s">
        <v>100</v>
      </c>
      <c r="D222" s="2" t="s">
        <v>48</v>
      </c>
      <c r="E222" s="2" t="s">
        <v>93</v>
      </c>
      <c r="F222" s="2" t="s">
        <v>94</v>
      </c>
      <c r="G222" s="2">
        <v>17</v>
      </c>
      <c r="H222" s="2">
        <v>1200</v>
      </c>
      <c r="I222" s="2">
        <v>15</v>
      </c>
      <c r="J222" s="2">
        <v>17340</v>
      </c>
      <c r="K222" s="2">
        <v>900</v>
      </c>
      <c r="L222" s="2">
        <v>15300</v>
      </c>
      <c r="M222" s="2">
        <v>2040</v>
      </c>
      <c r="N222" s="2" t="s">
        <v>22</v>
      </c>
      <c r="O222" s="2" t="s">
        <v>30</v>
      </c>
      <c r="P222" s="2" t="s">
        <v>44</v>
      </c>
    </row>
    <row r="223" spans="1:16" x14ac:dyDescent="0.25">
      <c r="A223" s="3" t="s">
        <v>457</v>
      </c>
      <c r="B223" s="3" t="s">
        <v>458</v>
      </c>
      <c r="C223" s="3" t="s">
        <v>18</v>
      </c>
      <c r="D223" s="3" t="s">
        <v>52</v>
      </c>
      <c r="E223" s="3" t="s">
        <v>34</v>
      </c>
      <c r="F223" s="3" t="s">
        <v>35</v>
      </c>
      <c r="G223" s="3">
        <v>9</v>
      </c>
      <c r="H223" s="3">
        <v>6000</v>
      </c>
      <c r="I223" s="3">
        <v>25</v>
      </c>
      <c r="J223" s="3">
        <v>40500</v>
      </c>
      <c r="K223" s="3">
        <v>3500</v>
      </c>
      <c r="L223" s="3">
        <v>31500</v>
      </c>
      <c r="M223" s="3">
        <v>9000</v>
      </c>
      <c r="N223" s="3" t="s">
        <v>22</v>
      </c>
      <c r="O223" s="3" t="s">
        <v>43</v>
      </c>
      <c r="P223" s="3" t="s">
        <v>24</v>
      </c>
    </row>
    <row r="224" spans="1:16" x14ac:dyDescent="0.25">
      <c r="A224" s="2" t="s">
        <v>459</v>
      </c>
      <c r="B224" s="2" t="s">
        <v>223</v>
      </c>
      <c r="C224" s="2" t="s">
        <v>47</v>
      </c>
      <c r="D224" s="2" t="s">
        <v>64</v>
      </c>
      <c r="E224" s="2" t="s">
        <v>34</v>
      </c>
      <c r="F224" s="2" t="s">
        <v>89</v>
      </c>
      <c r="G224" s="2">
        <v>13</v>
      </c>
      <c r="H224" s="2">
        <v>4500</v>
      </c>
      <c r="I224" s="2">
        <v>15</v>
      </c>
      <c r="J224" s="2">
        <v>49725</v>
      </c>
      <c r="K224" s="2">
        <v>2500</v>
      </c>
      <c r="L224" s="2">
        <v>32500</v>
      </c>
      <c r="M224" s="2">
        <v>17225</v>
      </c>
      <c r="N224" s="2" t="s">
        <v>42</v>
      </c>
      <c r="O224" s="2" t="s">
        <v>43</v>
      </c>
      <c r="P224" s="2" t="s">
        <v>44</v>
      </c>
    </row>
    <row r="225" spans="1:16" x14ac:dyDescent="0.25">
      <c r="A225" s="3" t="s">
        <v>460</v>
      </c>
      <c r="B225" s="3" t="s">
        <v>315</v>
      </c>
      <c r="C225" s="3" t="s">
        <v>92</v>
      </c>
      <c r="D225" s="3" t="s">
        <v>40</v>
      </c>
      <c r="E225" s="3" t="s">
        <v>93</v>
      </c>
      <c r="F225" s="3" t="s">
        <v>98</v>
      </c>
      <c r="G225" s="3">
        <v>8</v>
      </c>
      <c r="H225" s="3">
        <v>400</v>
      </c>
      <c r="I225" s="3">
        <v>0</v>
      </c>
      <c r="J225" s="3">
        <v>3200</v>
      </c>
      <c r="K225" s="3">
        <v>280</v>
      </c>
      <c r="L225" s="3">
        <v>2240</v>
      </c>
      <c r="M225" s="3">
        <v>960</v>
      </c>
      <c r="N225" s="3" t="s">
        <v>42</v>
      </c>
      <c r="O225" s="3" t="s">
        <v>66</v>
      </c>
      <c r="P225" s="3" t="s">
        <v>44</v>
      </c>
    </row>
    <row r="226" spans="1:16" x14ac:dyDescent="0.25">
      <c r="A226" s="2" t="s">
        <v>461</v>
      </c>
      <c r="B226" s="2" t="s">
        <v>61</v>
      </c>
      <c r="C226" s="2" t="s">
        <v>100</v>
      </c>
      <c r="D226" s="2" t="s">
        <v>48</v>
      </c>
      <c r="E226" s="2" t="s">
        <v>53</v>
      </c>
      <c r="F226" s="2" t="s">
        <v>101</v>
      </c>
      <c r="G226" s="2">
        <v>1</v>
      </c>
      <c r="H226" s="2">
        <v>1200</v>
      </c>
      <c r="I226" s="2">
        <v>10</v>
      </c>
      <c r="J226" s="2">
        <v>1080</v>
      </c>
      <c r="K226" s="2">
        <v>700</v>
      </c>
      <c r="L226" s="2">
        <v>700</v>
      </c>
      <c r="M226" s="2">
        <v>380</v>
      </c>
      <c r="N226" s="2" t="s">
        <v>42</v>
      </c>
      <c r="O226" s="2" t="s">
        <v>23</v>
      </c>
      <c r="P226" s="2" t="s">
        <v>44</v>
      </c>
    </row>
    <row r="227" spans="1:16" x14ac:dyDescent="0.25">
      <c r="A227" s="3" t="s">
        <v>462</v>
      </c>
      <c r="B227" s="3" t="s">
        <v>463</v>
      </c>
      <c r="C227" s="3" t="s">
        <v>18</v>
      </c>
      <c r="D227" s="3" t="s">
        <v>74</v>
      </c>
      <c r="E227" s="3" t="s">
        <v>20</v>
      </c>
      <c r="F227" s="3" t="s">
        <v>21</v>
      </c>
      <c r="G227" s="3">
        <v>13</v>
      </c>
      <c r="H227" s="3">
        <v>3500</v>
      </c>
      <c r="I227" s="3">
        <v>25</v>
      </c>
      <c r="J227" s="3">
        <v>34125</v>
      </c>
      <c r="K227" s="3">
        <v>2000</v>
      </c>
      <c r="L227" s="3">
        <v>26000</v>
      </c>
      <c r="M227" s="3">
        <v>8125</v>
      </c>
      <c r="N227" s="3" t="s">
        <v>42</v>
      </c>
      <c r="O227" s="3" t="s">
        <v>23</v>
      </c>
      <c r="P227" s="3" t="s">
        <v>44</v>
      </c>
    </row>
    <row r="228" spans="1:16" x14ac:dyDescent="0.25">
      <c r="A228" s="2" t="s">
        <v>464</v>
      </c>
      <c r="B228" s="2" t="s">
        <v>223</v>
      </c>
      <c r="C228" s="2" t="s">
        <v>100</v>
      </c>
      <c r="D228" s="2" t="s">
        <v>64</v>
      </c>
      <c r="E228" s="2" t="s">
        <v>34</v>
      </c>
      <c r="F228" s="2" t="s">
        <v>146</v>
      </c>
      <c r="G228" s="2">
        <v>16</v>
      </c>
      <c r="H228" s="2">
        <v>3500</v>
      </c>
      <c r="I228" s="2">
        <v>5</v>
      </c>
      <c r="J228" s="2">
        <v>53200</v>
      </c>
      <c r="K228" s="2">
        <v>1800</v>
      </c>
      <c r="L228" s="2">
        <v>28800</v>
      </c>
      <c r="M228" s="2">
        <v>24400</v>
      </c>
      <c r="N228" s="2" t="s">
        <v>42</v>
      </c>
      <c r="O228" s="2" t="s">
        <v>23</v>
      </c>
      <c r="P228" s="2" t="s">
        <v>56</v>
      </c>
    </row>
    <row r="229" spans="1:16" x14ac:dyDescent="0.25">
      <c r="A229" s="3" t="s">
        <v>465</v>
      </c>
      <c r="B229" s="3" t="s">
        <v>466</v>
      </c>
      <c r="C229" s="3" t="s">
        <v>77</v>
      </c>
      <c r="D229" s="3" t="s">
        <v>74</v>
      </c>
      <c r="E229" s="3" t="s">
        <v>53</v>
      </c>
      <c r="F229" s="3" t="s">
        <v>54</v>
      </c>
      <c r="G229" s="3">
        <v>8</v>
      </c>
      <c r="H229" s="3">
        <v>2000</v>
      </c>
      <c r="I229" s="3">
        <v>25</v>
      </c>
      <c r="J229" s="3">
        <v>12000</v>
      </c>
      <c r="K229" s="3">
        <v>1200</v>
      </c>
      <c r="L229" s="3">
        <v>9600</v>
      </c>
      <c r="M229" s="3">
        <v>2400</v>
      </c>
      <c r="N229" s="3" t="s">
        <v>22</v>
      </c>
      <c r="O229" s="3" t="s">
        <v>30</v>
      </c>
      <c r="P229" s="3" t="s">
        <v>44</v>
      </c>
    </row>
    <row r="230" spans="1:16" x14ac:dyDescent="0.25">
      <c r="A230" s="2" t="s">
        <v>467</v>
      </c>
      <c r="B230" s="2" t="s">
        <v>468</v>
      </c>
      <c r="C230" s="2" t="s">
        <v>100</v>
      </c>
      <c r="D230" s="2" t="s">
        <v>159</v>
      </c>
      <c r="E230" s="2" t="s">
        <v>53</v>
      </c>
      <c r="F230" s="2" t="s">
        <v>82</v>
      </c>
      <c r="G230" s="2">
        <v>2</v>
      </c>
      <c r="H230" s="2">
        <v>4000</v>
      </c>
      <c r="I230" s="2">
        <v>20</v>
      </c>
      <c r="J230" s="2">
        <v>6400</v>
      </c>
      <c r="K230" s="2">
        <v>2500</v>
      </c>
      <c r="L230" s="2">
        <v>5000</v>
      </c>
      <c r="M230" s="2">
        <v>1400</v>
      </c>
      <c r="N230" s="2" t="s">
        <v>22</v>
      </c>
      <c r="O230" s="2" t="s">
        <v>30</v>
      </c>
      <c r="P230" s="2" t="s">
        <v>44</v>
      </c>
    </row>
    <row r="231" spans="1:16" x14ac:dyDescent="0.25">
      <c r="A231" s="3" t="s">
        <v>469</v>
      </c>
      <c r="B231" s="3" t="s">
        <v>470</v>
      </c>
      <c r="C231" s="3" t="s">
        <v>100</v>
      </c>
      <c r="D231" s="3" t="s">
        <v>74</v>
      </c>
      <c r="E231" s="3" t="s">
        <v>28</v>
      </c>
      <c r="F231" s="3" t="s">
        <v>116</v>
      </c>
      <c r="G231" s="3">
        <v>19</v>
      </c>
      <c r="H231" s="3">
        <v>85000</v>
      </c>
      <c r="I231" s="3">
        <v>15</v>
      </c>
      <c r="J231" s="3">
        <v>1372750</v>
      </c>
      <c r="K231" s="3">
        <v>65000</v>
      </c>
      <c r="L231" s="3">
        <v>1235000</v>
      </c>
      <c r="M231" s="3">
        <v>137750</v>
      </c>
      <c r="N231" s="3" t="s">
        <v>22</v>
      </c>
      <c r="O231" s="3" t="s">
        <v>30</v>
      </c>
      <c r="P231" s="3" t="s">
        <v>44</v>
      </c>
    </row>
    <row r="232" spans="1:16" x14ac:dyDescent="0.25">
      <c r="A232" s="2" t="s">
        <v>471</v>
      </c>
      <c r="B232" s="2" t="s">
        <v>412</v>
      </c>
      <c r="C232" s="2" t="s">
        <v>122</v>
      </c>
      <c r="D232" s="2" t="s">
        <v>40</v>
      </c>
      <c r="E232" s="2" t="s">
        <v>53</v>
      </c>
      <c r="F232" s="2" t="s">
        <v>71</v>
      </c>
      <c r="G232" s="2">
        <v>15</v>
      </c>
      <c r="H232" s="2">
        <v>8000</v>
      </c>
      <c r="I232" s="2">
        <v>20</v>
      </c>
      <c r="J232" s="2">
        <v>96000</v>
      </c>
      <c r="K232" s="2">
        <v>5000</v>
      </c>
      <c r="L232" s="2">
        <v>75000</v>
      </c>
      <c r="M232" s="2">
        <v>21000</v>
      </c>
      <c r="N232" s="2" t="s">
        <v>22</v>
      </c>
      <c r="O232" s="2" t="s">
        <v>30</v>
      </c>
      <c r="P232" s="2" t="s">
        <v>44</v>
      </c>
    </row>
    <row r="233" spans="1:16" x14ac:dyDescent="0.25">
      <c r="A233" s="3" t="s">
        <v>472</v>
      </c>
      <c r="B233" s="3" t="s">
        <v>88</v>
      </c>
      <c r="C233" s="3" t="s">
        <v>104</v>
      </c>
      <c r="D233" s="3" t="s">
        <v>27</v>
      </c>
      <c r="E233" s="3" t="s">
        <v>20</v>
      </c>
      <c r="F233" s="3" t="s">
        <v>65</v>
      </c>
      <c r="G233" s="3">
        <v>7</v>
      </c>
      <c r="H233" s="3">
        <v>18000</v>
      </c>
      <c r="I233" s="3">
        <v>20</v>
      </c>
      <c r="J233" s="3">
        <v>100800</v>
      </c>
      <c r="K233" s="3">
        <v>12000</v>
      </c>
      <c r="L233" s="3">
        <v>84000</v>
      </c>
      <c r="M233" s="3">
        <v>16800</v>
      </c>
      <c r="N233" s="3" t="s">
        <v>22</v>
      </c>
      <c r="O233" s="3" t="s">
        <v>43</v>
      </c>
      <c r="P233" s="3" t="s">
        <v>44</v>
      </c>
    </row>
    <row r="234" spans="1:16" x14ac:dyDescent="0.25">
      <c r="A234" s="2" t="s">
        <v>473</v>
      </c>
      <c r="B234" s="2" t="s">
        <v>474</v>
      </c>
      <c r="C234" s="2" t="s">
        <v>18</v>
      </c>
      <c r="D234" s="2" t="s">
        <v>19</v>
      </c>
      <c r="E234" s="2" t="s">
        <v>28</v>
      </c>
      <c r="F234" s="2" t="s">
        <v>49</v>
      </c>
      <c r="G234" s="2">
        <v>2</v>
      </c>
      <c r="H234" s="2">
        <v>5000</v>
      </c>
      <c r="I234" s="2">
        <v>10</v>
      </c>
      <c r="J234" s="2">
        <v>9000</v>
      </c>
      <c r="K234" s="2">
        <v>3000</v>
      </c>
      <c r="L234" s="2">
        <v>6000</v>
      </c>
      <c r="M234" s="2">
        <v>3000</v>
      </c>
      <c r="N234" s="2" t="s">
        <v>42</v>
      </c>
      <c r="O234" s="2" t="s">
        <v>36</v>
      </c>
      <c r="P234" s="2" t="s">
        <v>86</v>
      </c>
    </row>
    <row r="235" spans="1:16" x14ac:dyDescent="0.25">
      <c r="A235" s="3" t="s">
        <v>475</v>
      </c>
      <c r="B235" s="3" t="s">
        <v>410</v>
      </c>
      <c r="C235" s="3" t="s">
        <v>77</v>
      </c>
      <c r="D235" s="3" t="s">
        <v>52</v>
      </c>
      <c r="E235" s="3" t="s">
        <v>93</v>
      </c>
      <c r="F235" s="3" t="s">
        <v>109</v>
      </c>
      <c r="G235" s="3">
        <v>13</v>
      </c>
      <c r="H235" s="3">
        <v>700</v>
      </c>
      <c r="I235" s="3">
        <v>15</v>
      </c>
      <c r="J235" s="3">
        <v>7735</v>
      </c>
      <c r="K235" s="3">
        <v>500</v>
      </c>
      <c r="L235" s="3">
        <v>6500</v>
      </c>
      <c r="M235" s="3">
        <v>1235</v>
      </c>
      <c r="N235" s="3" t="s">
        <v>22</v>
      </c>
      <c r="O235" s="3" t="s">
        <v>23</v>
      </c>
      <c r="P235" s="3" t="s">
        <v>95</v>
      </c>
    </row>
    <row r="236" spans="1:16" x14ac:dyDescent="0.25">
      <c r="A236" s="2" t="s">
        <v>476</v>
      </c>
      <c r="B236" s="2" t="s">
        <v>195</v>
      </c>
      <c r="C236" s="2" t="s">
        <v>92</v>
      </c>
      <c r="D236" s="2" t="s">
        <v>52</v>
      </c>
      <c r="E236" s="2" t="s">
        <v>28</v>
      </c>
      <c r="F236" s="2" t="s">
        <v>116</v>
      </c>
      <c r="G236" s="2">
        <v>18</v>
      </c>
      <c r="H236" s="2">
        <v>85000</v>
      </c>
      <c r="I236" s="2">
        <v>15</v>
      </c>
      <c r="J236" s="2">
        <v>1300500</v>
      </c>
      <c r="K236" s="2">
        <v>65000</v>
      </c>
      <c r="L236" s="2">
        <v>1170000</v>
      </c>
      <c r="M236" s="2">
        <v>130500</v>
      </c>
      <c r="N236" s="2" t="s">
        <v>22</v>
      </c>
      <c r="O236" s="2" t="s">
        <v>23</v>
      </c>
      <c r="P236" s="2" t="s">
        <v>56</v>
      </c>
    </row>
    <row r="237" spans="1:16" x14ac:dyDescent="0.25">
      <c r="A237" s="3" t="s">
        <v>477</v>
      </c>
      <c r="B237" s="3" t="s">
        <v>478</v>
      </c>
      <c r="C237" s="3" t="s">
        <v>104</v>
      </c>
      <c r="D237" s="3" t="s">
        <v>48</v>
      </c>
      <c r="E237" s="3" t="s">
        <v>93</v>
      </c>
      <c r="F237" s="3" t="s">
        <v>94</v>
      </c>
      <c r="G237" s="3">
        <v>14</v>
      </c>
      <c r="H237" s="3">
        <v>1200</v>
      </c>
      <c r="I237" s="3">
        <v>20</v>
      </c>
      <c r="J237" s="3">
        <v>13440</v>
      </c>
      <c r="K237" s="3">
        <v>900</v>
      </c>
      <c r="L237" s="3">
        <v>12600</v>
      </c>
      <c r="M237" s="3">
        <v>840</v>
      </c>
      <c r="N237" s="3" t="s">
        <v>42</v>
      </c>
      <c r="O237" s="3" t="s">
        <v>36</v>
      </c>
      <c r="P237" s="3" t="s">
        <v>44</v>
      </c>
    </row>
    <row r="238" spans="1:16" x14ac:dyDescent="0.25">
      <c r="A238" s="2" t="s">
        <v>479</v>
      </c>
      <c r="B238" s="2" t="s">
        <v>480</v>
      </c>
      <c r="C238" s="2" t="s">
        <v>92</v>
      </c>
      <c r="D238" s="2" t="s">
        <v>48</v>
      </c>
      <c r="E238" s="2" t="s">
        <v>34</v>
      </c>
      <c r="F238" s="2" t="s">
        <v>196</v>
      </c>
      <c r="G238" s="2">
        <v>2</v>
      </c>
      <c r="H238" s="2">
        <v>2500</v>
      </c>
      <c r="I238" s="2">
        <v>25</v>
      </c>
      <c r="J238" s="2">
        <v>3750</v>
      </c>
      <c r="K238" s="2">
        <v>1200</v>
      </c>
      <c r="L238" s="2">
        <v>2400</v>
      </c>
      <c r="M238" s="2">
        <v>1350</v>
      </c>
      <c r="N238" s="2" t="s">
        <v>42</v>
      </c>
      <c r="O238" s="2" t="s">
        <v>30</v>
      </c>
      <c r="P238" s="2" t="s">
        <v>86</v>
      </c>
    </row>
    <row r="239" spans="1:16" x14ac:dyDescent="0.25">
      <c r="A239" s="3" t="s">
        <v>481</v>
      </c>
      <c r="B239" s="3" t="s">
        <v>383</v>
      </c>
      <c r="C239" s="3" t="s">
        <v>33</v>
      </c>
      <c r="D239" s="3" t="s">
        <v>64</v>
      </c>
      <c r="E239" s="3" t="s">
        <v>28</v>
      </c>
      <c r="F239" s="3" t="s">
        <v>29</v>
      </c>
      <c r="G239" s="3">
        <v>20</v>
      </c>
      <c r="H239" s="3">
        <v>25000</v>
      </c>
      <c r="I239" s="3">
        <v>0</v>
      </c>
      <c r="J239" s="3">
        <v>500000</v>
      </c>
      <c r="K239" s="3">
        <v>18000</v>
      </c>
      <c r="L239" s="3">
        <v>360000</v>
      </c>
      <c r="M239" s="3">
        <v>140000</v>
      </c>
      <c r="N239" s="3" t="s">
        <v>42</v>
      </c>
      <c r="O239" s="3" t="s">
        <v>30</v>
      </c>
      <c r="P239" s="3" t="s">
        <v>24</v>
      </c>
    </row>
    <row r="240" spans="1:16" x14ac:dyDescent="0.25">
      <c r="A240" s="2" t="s">
        <v>482</v>
      </c>
      <c r="B240" s="2" t="s">
        <v>483</v>
      </c>
      <c r="C240" s="2" t="s">
        <v>33</v>
      </c>
      <c r="D240" s="2" t="s">
        <v>19</v>
      </c>
      <c r="E240" s="2" t="s">
        <v>93</v>
      </c>
      <c r="F240" s="2" t="s">
        <v>109</v>
      </c>
      <c r="G240" s="2">
        <v>8</v>
      </c>
      <c r="H240" s="2">
        <v>700</v>
      </c>
      <c r="I240" s="2">
        <v>20</v>
      </c>
      <c r="J240" s="2">
        <v>4480</v>
      </c>
      <c r="K240" s="2">
        <v>500</v>
      </c>
      <c r="L240" s="2">
        <v>4000</v>
      </c>
      <c r="M240" s="2">
        <v>480</v>
      </c>
      <c r="N240" s="2" t="s">
        <v>22</v>
      </c>
      <c r="O240" s="2" t="s">
        <v>43</v>
      </c>
      <c r="P240" s="2" t="s">
        <v>44</v>
      </c>
    </row>
    <row r="241" spans="1:16" x14ac:dyDescent="0.25">
      <c r="A241" s="3" t="s">
        <v>484</v>
      </c>
      <c r="B241" s="3" t="s">
        <v>485</v>
      </c>
      <c r="C241" s="3" t="s">
        <v>33</v>
      </c>
      <c r="D241" s="3" t="s">
        <v>52</v>
      </c>
      <c r="E241" s="3" t="s">
        <v>53</v>
      </c>
      <c r="F241" s="3" t="s">
        <v>101</v>
      </c>
      <c r="G241" s="3">
        <v>11</v>
      </c>
      <c r="H241" s="3">
        <v>1200</v>
      </c>
      <c r="I241" s="3">
        <v>5</v>
      </c>
      <c r="J241" s="3">
        <v>12540</v>
      </c>
      <c r="K241" s="3">
        <v>700</v>
      </c>
      <c r="L241" s="3">
        <v>7700</v>
      </c>
      <c r="M241" s="3">
        <v>4840</v>
      </c>
      <c r="N241" s="3" t="s">
        <v>42</v>
      </c>
      <c r="O241" s="3" t="s">
        <v>36</v>
      </c>
      <c r="P241" s="3" t="s">
        <v>56</v>
      </c>
    </row>
    <row r="242" spans="1:16" x14ac:dyDescent="0.25">
      <c r="A242" s="2" t="s">
        <v>486</v>
      </c>
      <c r="B242" s="2" t="s">
        <v>161</v>
      </c>
      <c r="C242" s="2" t="s">
        <v>33</v>
      </c>
      <c r="D242" s="2" t="s">
        <v>27</v>
      </c>
      <c r="E242" s="2" t="s">
        <v>20</v>
      </c>
      <c r="F242" s="2" t="s">
        <v>182</v>
      </c>
      <c r="G242" s="2">
        <v>2</v>
      </c>
      <c r="H242" s="2">
        <v>5000</v>
      </c>
      <c r="I242" s="2">
        <v>20</v>
      </c>
      <c r="J242" s="2">
        <v>8000</v>
      </c>
      <c r="K242" s="2">
        <v>3000</v>
      </c>
      <c r="L242" s="2">
        <v>6000</v>
      </c>
      <c r="M242" s="2">
        <v>2000</v>
      </c>
      <c r="N242" s="2" t="s">
        <v>22</v>
      </c>
      <c r="O242" s="2" t="s">
        <v>23</v>
      </c>
      <c r="P242" s="2" t="s">
        <v>24</v>
      </c>
    </row>
    <row r="243" spans="1:16" x14ac:dyDescent="0.25">
      <c r="A243" s="3" t="s">
        <v>487</v>
      </c>
      <c r="B243" s="3" t="s">
        <v>121</v>
      </c>
      <c r="C243" s="3" t="s">
        <v>122</v>
      </c>
      <c r="D243" s="3" t="s">
        <v>19</v>
      </c>
      <c r="E243" s="3" t="s">
        <v>20</v>
      </c>
      <c r="F243" s="3" t="s">
        <v>59</v>
      </c>
      <c r="G243" s="3">
        <v>17</v>
      </c>
      <c r="H243" s="3">
        <v>12000</v>
      </c>
      <c r="I243" s="3">
        <v>10</v>
      </c>
      <c r="J243" s="3">
        <v>183600</v>
      </c>
      <c r="K243" s="3">
        <v>8000</v>
      </c>
      <c r="L243" s="3">
        <v>136000</v>
      </c>
      <c r="M243" s="3">
        <v>47600</v>
      </c>
      <c r="N243" s="3" t="s">
        <v>42</v>
      </c>
      <c r="O243" s="3" t="s">
        <v>66</v>
      </c>
      <c r="P243" s="3" t="s">
        <v>44</v>
      </c>
    </row>
    <row r="244" spans="1:16" x14ac:dyDescent="0.25">
      <c r="A244" s="2" t="s">
        <v>488</v>
      </c>
      <c r="B244" s="2" t="s">
        <v>202</v>
      </c>
      <c r="C244" s="2" t="s">
        <v>92</v>
      </c>
      <c r="D244" s="2" t="s">
        <v>74</v>
      </c>
      <c r="E244" s="2" t="s">
        <v>34</v>
      </c>
      <c r="F244" s="2" t="s">
        <v>146</v>
      </c>
      <c r="G244" s="2">
        <v>10</v>
      </c>
      <c r="H244" s="2">
        <v>3500</v>
      </c>
      <c r="I244" s="2">
        <v>25</v>
      </c>
      <c r="J244" s="2">
        <v>26250</v>
      </c>
      <c r="K244" s="2">
        <v>1800</v>
      </c>
      <c r="L244" s="2">
        <v>18000</v>
      </c>
      <c r="M244" s="2">
        <v>8250</v>
      </c>
      <c r="N244" s="2" t="s">
        <v>22</v>
      </c>
      <c r="O244" s="2" t="s">
        <v>66</v>
      </c>
      <c r="P244" s="2" t="s">
        <v>95</v>
      </c>
    </row>
    <row r="245" spans="1:16" x14ac:dyDescent="0.25">
      <c r="A245" s="3" t="s">
        <v>489</v>
      </c>
      <c r="B245" s="3" t="s">
        <v>32</v>
      </c>
      <c r="C245" s="3" t="s">
        <v>77</v>
      </c>
      <c r="D245" s="3" t="s">
        <v>27</v>
      </c>
      <c r="E245" s="3" t="s">
        <v>53</v>
      </c>
      <c r="F245" s="3" t="s">
        <v>101</v>
      </c>
      <c r="G245" s="3">
        <v>5</v>
      </c>
      <c r="H245" s="3">
        <v>1200</v>
      </c>
      <c r="I245" s="3">
        <v>15</v>
      </c>
      <c r="J245" s="3">
        <v>5100</v>
      </c>
      <c r="K245" s="3">
        <v>700</v>
      </c>
      <c r="L245" s="3">
        <v>3500</v>
      </c>
      <c r="M245" s="3">
        <v>1600</v>
      </c>
      <c r="N245" s="3" t="s">
        <v>22</v>
      </c>
      <c r="O245" s="3" t="s">
        <v>55</v>
      </c>
      <c r="P245" s="3" t="s">
        <v>44</v>
      </c>
    </row>
    <row r="246" spans="1:16" x14ac:dyDescent="0.25">
      <c r="A246" s="2" t="s">
        <v>490</v>
      </c>
      <c r="B246" s="2" t="s">
        <v>491</v>
      </c>
      <c r="C246" s="2" t="s">
        <v>18</v>
      </c>
      <c r="D246" s="2" t="s">
        <v>74</v>
      </c>
      <c r="E246" s="2" t="s">
        <v>20</v>
      </c>
      <c r="F246" s="2" t="s">
        <v>65</v>
      </c>
      <c r="G246" s="2">
        <v>18</v>
      </c>
      <c r="H246" s="2">
        <v>18000</v>
      </c>
      <c r="I246" s="2">
        <v>25</v>
      </c>
      <c r="J246" s="2">
        <v>243000</v>
      </c>
      <c r="K246" s="2">
        <v>12000</v>
      </c>
      <c r="L246" s="2">
        <v>216000</v>
      </c>
      <c r="M246" s="2">
        <v>27000</v>
      </c>
      <c r="N246" s="2" t="s">
        <v>22</v>
      </c>
      <c r="O246" s="2" t="s">
        <v>43</v>
      </c>
      <c r="P246" s="2" t="s">
        <v>44</v>
      </c>
    </row>
    <row r="247" spans="1:16" x14ac:dyDescent="0.25">
      <c r="A247" s="3" t="s">
        <v>492</v>
      </c>
      <c r="B247" s="3" t="s">
        <v>291</v>
      </c>
      <c r="C247" s="3" t="s">
        <v>47</v>
      </c>
      <c r="D247" s="3" t="s">
        <v>19</v>
      </c>
      <c r="E247" s="3" t="s">
        <v>28</v>
      </c>
      <c r="F247" s="3" t="s">
        <v>116</v>
      </c>
      <c r="G247" s="3">
        <v>19</v>
      </c>
      <c r="H247" s="3">
        <v>85000</v>
      </c>
      <c r="I247" s="3">
        <v>25</v>
      </c>
      <c r="J247" s="3">
        <v>1211250</v>
      </c>
      <c r="K247" s="3">
        <v>65000</v>
      </c>
      <c r="L247" s="3">
        <v>1235000</v>
      </c>
      <c r="M247" s="3">
        <v>-23750</v>
      </c>
      <c r="N247" s="3" t="s">
        <v>22</v>
      </c>
      <c r="O247" s="3" t="s">
        <v>66</v>
      </c>
      <c r="P247" s="3" t="s">
        <v>44</v>
      </c>
    </row>
    <row r="248" spans="1:16" x14ac:dyDescent="0.25">
      <c r="A248" s="2" t="s">
        <v>493</v>
      </c>
      <c r="B248" s="2" t="s">
        <v>141</v>
      </c>
      <c r="C248" s="2" t="s">
        <v>39</v>
      </c>
      <c r="D248" s="2" t="s">
        <v>19</v>
      </c>
      <c r="E248" s="2" t="s">
        <v>34</v>
      </c>
      <c r="F248" s="2" t="s">
        <v>146</v>
      </c>
      <c r="G248" s="2">
        <v>4</v>
      </c>
      <c r="H248" s="2">
        <v>3500</v>
      </c>
      <c r="I248" s="2">
        <v>25</v>
      </c>
      <c r="J248" s="2">
        <v>10500</v>
      </c>
      <c r="K248" s="2">
        <v>1800</v>
      </c>
      <c r="L248" s="2">
        <v>7200</v>
      </c>
      <c r="M248" s="2">
        <v>3300</v>
      </c>
      <c r="N248" s="2" t="s">
        <v>42</v>
      </c>
      <c r="O248" s="2" t="s">
        <v>36</v>
      </c>
      <c r="P248" s="2" t="s">
        <v>24</v>
      </c>
    </row>
    <row r="249" spans="1:16" x14ac:dyDescent="0.25">
      <c r="A249" s="3" t="s">
        <v>494</v>
      </c>
      <c r="B249" s="3" t="s">
        <v>468</v>
      </c>
      <c r="C249" s="3" t="s">
        <v>33</v>
      </c>
      <c r="D249" s="3" t="s">
        <v>27</v>
      </c>
      <c r="E249" s="3" t="s">
        <v>34</v>
      </c>
      <c r="F249" s="3" t="s">
        <v>89</v>
      </c>
      <c r="G249" s="3">
        <v>11</v>
      </c>
      <c r="H249" s="3">
        <v>4500</v>
      </c>
      <c r="I249" s="3">
        <v>10</v>
      </c>
      <c r="J249" s="3">
        <v>44550</v>
      </c>
      <c r="K249" s="3">
        <v>2500</v>
      </c>
      <c r="L249" s="3">
        <v>27500</v>
      </c>
      <c r="M249" s="3">
        <v>17050</v>
      </c>
      <c r="N249" s="3" t="s">
        <v>42</v>
      </c>
      <c r="O249" s="3" t="s">
        <v>66</v>
      </c>
      <c r="P249" s="3" t="s">
        <v>44</v>
      </c>
    </row>
    <row r="250" spans="1:16" x14ac:dyDescent="0.25">
      <c r="A250" s="2" t="s">
        <v>495</v>
      </c>
      <c r="B250" s="2" t="s">
        <v>282</v>
      </c>
      <c r="C250" s="2" t="s">
        <v>39</v>
      </c>
      <c r="D250" s="2" t="s">
        <v>48</v>
      </c>
      <c r="E250" s="2" t="s">
        <v>20</v>
      </c>
      <c r="F250" s="2" t="s">
        <v>137</v>
      </c>
      <c r="G250" s="2">
        <v>16</v>
      </c>
      <c r="H250" s="2">
        <v>15000</v>
      </c>
      <c r="I250" s="2">
        <v>15</v>
      </c>
      <c r="J250" s="2">
        <v>204000</v>
      </c>
      <c r="K250" s="2">
        <v>10000</v>
      </c>
      <c r="L250" s="2">
        <v>160000</v>
      </c>
      <c r="M250" s="2">
        <v>44000</v>
      </c>
      <c r="N250" s="2" t="s">
        <v>22</v>
      </c>
      <c r="O250" s="2" t="s">
        <v>23</v>
      </c>
      <c r="P250" s="2" t="s">
        <v>44</v>
      </c>
    </row>
    <row r="251" spans="1:16" x14ac:dyDescent="0.25">
      <c r="A251" s="3" t="s">
        <v>496</v>
      </c>
      <c r="B251" s="3" t="s">
        <v>497</v>
      </c>
      <c r="C251" s="3" t="s">
        <v>33</v>
      </c>
      <c r="D251" s="3" t="s">
        <v>52</v>
      </c>
      <c r="E251" s="3" t="s">
        <v>20</v>
      </c>
      <c r="F251" s="3" t="s">
        <v>59</v>
      </c>
      <c r="G251" s="3">
        <v>2</v>
      </c>
      <c r="H251" s="3">
        <v>12000</v>
      </c>
      <c r="I251" s="3">
        <v>20</v>
      </c>
      <c r="J251" s="3">
        <v>19200</v>
      </c>
      <c r="K251" s="3">
        <v>8000</v>
      </c>
      <c r="L251" s="3">
        <v>16000</v>
      </c>
      <c r="M251" s="3">
        <v>3200</v>
      </c>
      <c r="N251" s="3" t="s">
        <v>22</v>
      </c>
      <c r="O251" s="3" t="s">
        <v>23</v>
      </c>
      <c r="P251" s="3" t="s">
        <v>44</v>
      </c>
    </row>
    <row r="252" spans="1:16" x14ac:dyDescent="0.25">
      <c r="A252" s="2" t="s">
        <v>498</v>
      </c>
      <c r="B252" s="2" t="s">
        <v>156</v>
      </c>
      <c r="C252" s="2" t="s">
        <v>63</v>
      </c>
      <c r="D252" s="2" t="s">
        <v>27</v>
      </c>
      <c r="E252" s="2" t="s">
        <v>20</v>
      </c>
      <c r="F252" s="2" t="s">
        <v>21</v>
      </c>
      <c r="G252" s="2">
        <v>7</v>
      </c>
      <c r="H252" s="2">
        <v>3500</v>
      </c>
      <c r="I252" s="2">
        <v>10</v>
      </c>
      <c r="J252" s="2">
        <v>22050</v>
      </c>
      <c r="K252" s="2">
        <v>2000</v>
      </c>
      <c r="L252" s="2">
        <v>14000</v>
      </c>
      <c r="M252" s="2">
        <v>8050</v>
      </c>
      <c r="N252" s="2" t="s">
        <v>22</v>
      </c>
      <c r="O252" s="2" t="s">
        <v>66</v>
      </c>
      <c r="P252" s="2" t="s">
        <v>44</v>
      </c>
    </row>
    <row r="253" spans="1:16" x14ac:dyDescent="0.25">
      <c r="A253" s="3" t="s">
        <v>499</v>
      </c>
      <c r="B253" s="3" t="s">
        <v>500</v>
      </c>
      <c r="C253" s="3" t="s">
        <v>122</v>
      </c>
      <c r="D253" s="3" t="s">
        <v>52</v>
      </c>
      <c r="E253" s="3" t="s">
        <v>20</v>
      </c>
      <c r="F253" s="3" t="s">
        <v>59</v>
      </c>
      <c r="G253" s="3">
        <v>16</v>
      </c>
      <c r="H253" s="3">
        <v>12000</v>
      </c>
      <c r="I253" s="3">
        <v>15</v>
      </c>
      <c r="J253" s="3">
        <v>163200</v>
      </c>
      <c r="K253" s="3">
        <v>8000</v>
      </c>
      <c r="L253" s="3">
        <v>128000</v>
      </c>
      <c r="M253" s="3">
        <v>35200</v>
      </c>
      <c r="N253" s="3" t="s">
        <v>22</v>
      </c>
      <c r="O253" s="3" t="s">
        <v>23</v>
      </c>
      <c r="P253" s="3" t="s">
        <v>86</v>
      </c>
    </row>
    <row r="254" spans="1:16" x14ac:dyDescent="0.25">
      <c r="A254" s="2" t="s">
        <v>501</v>
      </c>
      <c r="B254" s="2" t="s">
        <v>169</v>
      </c>
      <c r="C254" s="2" t="s">
        <v>92</v>
      </c>
      <c r="D254" s="2" t="s">
        <v>74</v>
      </c>
      <c r="E254" s="2" t="s">
        <v>34</v>
      </c>
      <c r="F254" s="2" t="s">
        <v>89</v>
      </c>
      <c r="G254" s="2">
        <v>2</v>
      </c>
      <c r="H254" s="2">
        <v>4500</v>
      </c>
      <c r="I254" s="2">
        <v>20</v>
      </c>
      <c r="J254" s="2">
        <v>7200</v>
      </c>
      <c r="K254" s="2">
        <v>2500</v>
      </c>
      <c r="L254" s="2">
        <v>5000</v>
      </c>
      <c r="M254" s="2">
        <v>2200</v>
      </c>
      <c r="N254" s="2" t="s">
        <v>22</v>
      </c>
      <c r="O254" s="2" t="s">
        <v>43</v>
      </c>
      <c r="P254" s="2" t="s">
        <v>95</v>
      </c>
    </row>
    <row r="255" spans="1:16" x14ac:dyDescent="0.25">
      <c r="A255" s="3" t="s">
        <v>502</v>
      </c>
      <c r="B255" s="3" t="s">
        <v>190</v>
      </c>
      <c r="C255" s="3" t="s">
        <v>104</v>
      </c>
      <c r="D255" s="3" t="s">
        <v>19</v>
      </c>
      <c r="E255" s="3" t="s">
        <v>93</v>
      </c>
      <c r="F255" s="3" t="s">
        <v>188</v>
      </c>
      <c r="G255" s="3">
        <v>8</v>
      </c>
      <c r="H255" s="3">
        <v>1500</v>
      </c>
      <c r="I255" s="3">
        <v>0</v>
      </c>
      <c r="J255" s="3">
        <v>12000</v>
      </c>
      <c r="K255" s="3">
        <v>1100</v>
      </c>
      <c r="L255" s="3">
        <v>8800</v>
      </c>
      <c r="M255" s="3">
        <v>3200</v>
      </c>
      <c r="N255" s="3" t="s">
        <v>22</v>
      </c>
      <c r="O255" s="3" t="s">
        <v>43</v>
      </c>
      <c r="P255" s="3" t="s">
        <v>44</v>
      </c>
    </row>
    <row r="256" spans="1:16" x14ac:dyDescent="0.25">
      <c r="A256" s="2" t="s">
        <v>503</v>
      </c>
      <c r="B256" s="2" t="s">
        <v>504</v>
      </c>
      <c r="C256" s="2" t="s">
        <v>100</v>
      </c>
      <c r="D256" s="2" t="s">
        <v>19</v>
      </c>
      <c r="E256" s="2" t="s">
        <v>53</v>
      </c>
      <c r="F256" s="2" t="s">
        <v>101</v>
      </c>
      <c r="G256" s="2">
        <v>16</v>
      </c>
      <c r="H256" s="2">
        <v>1200</v>
      </c>
      <c r="I256" s="2">
        <v>25</v>
      </c>
      <c r="J256" s="2">
        <v>14400</v>
      </c>
      <c r="K256" s="2">
        <v>700</v>
      </c>
      <c r="L256" s="2">
        <v>11200</v>
      </c>
      <c r="M256" s="2">
        <v>3200</v>
      </c>
      <c r="N256" s="2" t="s">
        <v>42</v>
      </c>
      <c r="O256" s="2" t="s">
        <v>43</v>
      </c>
      <c r="P256" s="2" t="s">
        <v>44</v>
      </c>
    </row>
    <row r="257" spans="1:16" x14ac:dyDescent="0.25">
      <c r="A257" s="3" t="s">
        <v>505</v>
      </c>
      <c r="B257" s="3" t="s">
        <v>506</v>
      </c>
      <c r="C257" s="3" t="s">
        <v>77</v>
      </c>
      <c r="D257" s="3" t="s">
        <v>19</v>
      </c>
      <c r="E257" s="3" t="s">
        <v>28</v>
      </c>
      <c r="F257" s="3" t="s">
        <v>127</v>
      </c>
      <c r="G257" s="3">
        <v>9</v>
      </c>
      <c r="H257" s="3">
        <v>15000</v>
      </c>
      <c r="I257" s="3">
        <v>20</v>
      </c>
      <c r="J257" s="3">
        <v>108000</v>
      </c>
      <c r="K257" s="3">
        <v>10000</v>
      </c>
      <c r="L257" s="3">
        <v>90000</v>
      </c>
      <c r="M257" s="3">
        <v>18000</v>
      </c>
      <c r="N257" s="3" t="s">
        <v>42</v>
      </c>
      <c r="O257" s="3" t="s">
        <v>43</v>
      </c>
      <c r="P257" s="3" t="s">
        <v>44</v>
      </c>
    </row>
    <row r="258" spans="1:16" x14ac:dyDescent="0.25">
      <c r="A258" s="2" t="s">
        <v>507</v>
      </c>
      <c r="B258" s="2" t="s">
        <v>508</v>
      </c>
      <c r="C258" s="2" t="s">
        <v>77</v>
      </c>
      <c r="D258" s="2" t="s">
        <v>40</v>
      </c>
      <c r="E258" s="2" t="s">
        <v>28</v>
      </c>
      <c r="F258" s="2" t="s">
        <v>29</v>
      </c>
      <c r="G258" s="2">
        <v>17</v>
      </c>
      <c r="H258" s="2">
        <v>25000</v>
      </c>
      <c r="I258" s="2">
        <v>5</v>
      </c>
      <c r="J258" s="2">
        <v>403750</v>
      </c>
      <c r="K258" s="2">
        <v>18000</v>
      </c>
      <c r="L258" s="2">
        <v>306000</v>
      </c>
      <c r="M258" s="2">
        <v>97750</v>
      </c>
      <c r="N258" s="2" t="s">
        <v>22</v>
      </c>
      <c r="O258" s="2" t="s">
        <v>36</v>
      </c>
      <c r="P258" s="2" t="s">
        <v>24</v>
      </c>
    </row>
    <row r="259" spans="1:16" x14ac:dyDescent="0.25">
      <c r="A259" s="3" t="s">
        <v>509</v>
      </c>
      <c r="B259" s="3" t="s">
        <v>510</v>
      </c>
      <c r="C259" s="3" t="s">
        <v>100</v>
      </c>
      <c r="D259" s="3" t="s">
        <v>48</v>
      </c>
      <c r="E259" s="3" t="s">
        <v>93</v>
      </c>
      <c r="F259" s="3" t="s">
        <v>119</v>
      </c>
      <c r="G259" s="3">
        <v>12</v>
      </c>
      <c r="H259" s="3">
        <v>800</v>
      </c>
      <c r="I259" s="3">
        <v>15</v>
      </c>
      <c r="J259" s="3">
        <v>8160</v>
      </c>
      <c r="K259" s="3">
        <v>600</v>
      </c>
      <c r="L259" s="3">
        <v>7200</v>
      </c>
      <c r="M259" s="3">
        <v>960</v>
      </c>
      <c r="N259" s="3" t="s">
        <v>42</v>
      </c>
      <c r="O259" s="3" t="s">
        <v>30</v>
      </c>
      <c r="P259" s="3" t="s">
        <v>44</v>
      </c>
    </row>
    <row r="260" spans="1:16" x14ac:dyDescent="0.25">
      <c r="A260" s="2" t="s">
        <v>511</v>
      </c>
      <c r="B260" s="2" t="s">
        <v>512</v>
      </c>
      <c r="C260" s="2" t="s">
        <v>33</v>
      </c>
      <c r="D260" s="2" t="s">
        <v>48</v>
      </c>
      <c r="E260" s="2" t="s">
        <v>28</v>
      </c>
      <c r="F260" s="2" t="s">
        <v>29</v>
      </c>
      <c r="G260" s="2">
        <v>3</v>
      </c>
      <c r="H260" s="2">
        <v>25000</v>
      </c>
      <c r="I260" s="2">
        <v>15</v>
      </c>
      <c r="J260" s="2">
        <v>63750</v>
      </c>
      <c r="K260" s="2">
        <v>18000</v>
      </c>
      <c r="L260" s="2">
        <v>54000</v>
      </c>
      <c r="M260" s="2">
        <v>9750</v>
      </c>
      <c r="N260" s="2" t="s">
        <v>42</v>
      </c>
      <c r="O260" s="2" t="s">
        <v>66</v>
      </c>
      <c r="P260" s="2" t="s">
        <v>44</v>
      </c>
    </row>
    <row r="261" spans="1:16" x14ac:dyDescent="0.25">
      <c r="A261" s="3" t="s">
        <v>513</v>
      </c>
      <c r="B261" s="3" t="s">
        <v>412</v>
      </c>
      <c r="C261" s="3" t="s">
        <v>104</v>
      </c>
      <c r="D261" s="3" t="s">
        <v>40</v>
      </c>
      <c r="E261" s="3" t="s">
        <v>28</v>
      </c>
      <c r="F261" s="3" t="s">
        <v>49</v>
      </c>
      <c r="G261" s="3">
        <v>14</v>
      </c>
      <c r="H261" s="3">
        <v>5000</v>
      </c>
      <c r="I261" s="3">
        <v>25</v>
      </c>
      <c r="J261" s="3">
        <v>52500</v>
      </c>
      <c r="K261" s="3">
        <v>3000</v>
      </c>
      <c r="L261" s="3">
        <v>42000</v>
      </c>
      <c r="M261" s="3">
        <v>10500</v>
      </c>
      <c r="N261" s="3" t="s">
        <v>42</v>
      </c>
      <c r="O261" s="3" t="s">
        <v>30</v>
      </c>
      <c r="P261" s="3" t="s">
        <v>56</v>
      </c>
    </row>
    <row r="262" spans="1:16" x14ac:dyDescent="0.25">
      <c r="A262" s="2" t="s">
        <v>514</v>
      </c>
      <c r="B262" s="2" t="s">
        <v>315</v>
      </c>
      <c r="C262" s="2" t="s">
        <v>63</v>
      </c>
      <c r="D262" s="2" t="s">
        <v>19</v>
      </c>
      <c r="E262" s="2" t="s">
        <v>34</v>
      </c>
      <c r="F262" s="2" t="s">
        <v>146</v>
      </c>
      <c r="G262" s="2">
        <v>19</v>
      </c>
      <c r="H262" s="2">
        <v>3500</v>
      </c>
      <c r="I262" s="2">
        <v>15</v>
      </c>
      <c r="J262" s="2">
        <v>56525</v>
      </c>
      <c r="K262" s="2">
        <v>1800</v>
      </c>
      <c r="L262" s="2">
        <v>34200</v>
      </c>
      <c r="M262" s="2">
        <v>22325</v>
      </c>
      <c r="N262" s="2" t="s">
        <v>42</v>
      </c>
      <c r="O262" s="2" t="s">
        <v>43</v>
      </c>
      <c r="P262" s="2" t="s">
        <v>95</v>
      </c>
    </row>
    <row r="263" spans="1:16" x14ac:dyDescent="0.25">
      <c r="A263" s="3" t="s">
        <v>515</v>
      </c>
      <c r="B263" s="3" t="s">
        <v>516</v>
      </c>
      <c r="C263" s="3" t="s">
        <v>39</v>
      </c>
      <c r="D263" s="3" t="s">
        <v>19</v>
      </c>
      <c r="E263" s="3" t="s">
        <v>34</v>
      </c>
      <c r="F263" s="3" t="s">
        <v>41</v>
      </c>
      <c r="G263" s="3">
        <v>1</v>
      </c>
      <c r="H263" s="3">
        <v>3000</v>
      </c>
      <c r="I263" s="3">
        <v>5</v>
      </c>
      <c r="J263" s="3">
        <v>2850</v>
      </c>
      <c r="K263" s="3">
        <v>1500</v>
      </c>
      <c r="L263" s="3">
        <v>1500</v>
      </c>
      <c r="M263" s="3">
        <v>1350</v>
      </c>
      <c r="N263" s="3" t="s">
        <v>22</v>
      </c>
      <c r="O263" s="3" t="s">
        <v>23</v>
      </c>
      <c r="P263" s="3" t="s">
        <v>86</v>
      </c>
    </row>
    <row r="264" spans="1:16" x14ac:dyDescent="0.25">
      <c r="A264" s="2" t="s">
        <v>517</v>
      </c>
      <c r="B264" s="2" t="s">
        <v>518</v>
      </c>
      <c r="C264" s="2" t="s">
        <v>39</v>
      </c>
      <c r="D264" s="2" t="s">
        <v>40</v>
      </c>
      <c r="E264" s="2" t="s">
        <v>53</v>
      </c>
      <c r="F264" s="2" t="s">
        <v>54</v>
      </c>
      <c r="G264" s="2">
        <v>19</v>
      </c>
      <c r="H264" s="2">
        <v>2000</v>
      </c>
      <c r="I264" s="2">
        <v>15</v>
      </c>
      <c r="J264" s="2">
        <v>32300</v>
      </c>
      <c r="K264" s="2">
        <v>1200</v>
      </c>
      <c r="L264" s="2">
        <v>22800</v>
      </c>
      <c r="M264" s="2">
        <v>9500</v>
      </c>
      <c r="N264" s="2" t="s">
        <v>42</v>
      </c>
      <c r="O264" s="2" t="s">
        <v>66</v>
      </c>
      <c r="P264" s="2" t="s">
        <v>86</v>
      </c>
    </row>
    <row r="265" spans="1:16" x14ac:dyDescent="0.25">
      <c r="A265" s="3" t="s">
        <v>519</v>
      </c>
      <c r="B265" s="3" t="s">
        <v>113</v>
      </c>
      <c r="C265" s="3" t="s">
        <v>18</v>
      </c>
      <c r="D265" s="3" t="s">
        <v>52</v>
      </c>
      <c r="E265" s="3" t="s">
        <v>28</v>
      </c>
      <c r="F265" s="3" t="s">
        <v>29</v>
      </c>
      <c r="G265" s="3">
        <v>14</v>
      </c>
      <c r="H265" s="3">
        <v>25000</v>
      </c>
      <c r="I265" s="3">
        <v>5</v>
      </c>
      <c r="J265" s="3">
        <v>332500</v>
      </c>
      <c r="K265" s="3">
        <v>18000</v>
      </c>
      <c r="L265" s="3">
        <v>252000</v>
      </c>
      <c r="M265" s="3">
        <v>80500</v>
      </c>
      <c r="N265" s="3" t="s">
        <v>22</v>
      </c>
      <c r="O265" s="3" t="s">
        <v>55</v>
      </c>
      <c r="P265" s="3" t="s">
        <v>24</v>
      </c>
    </row>
    <row r="266" spans="1:16" x14ac:dyDescent="0.25">
      <c r="A266" s="2" t="s">
        <v>520</v>
      </c>
      <c r="B266" s="2" t="s">
        <v>308</v>
      </c>
      <c r="C266" s="2" t="s">
        <v>47</v>
      </c>
      <c r="D266" s="2" t="s">
        <v>27</v>
      </c>
      <c r="E266" s="2" t="s">
        <v>20</v>
      </c>
      <c r="F266" s="2" t="s">
        <v>65</v>
      </c>
      <c r="G266" s="2">
        <v>9</v>
      </c>
      <c r="H266" s="2">
        <v>18000</v>
      </c>
      <c r="I266" s="2">
        <v>15</v>
      </c>
      <c r="J266" s="2">
        <v>137700</v>
      </c>
      <c r="K266" s="2">
        <v>12000</v>
      </c>
      <c r="L266" s="2">
        <v>108000</v>
      </c>
      <c r="M266" s="2">
        <v>29700</v>
      </c>
      <c r="N266" s="2" t="s">
        <v>42</v>
      </c>
      <c r="O266" s="2" t="s">
        <v>36</v>
      </c>
      <c r="P266" s="2" t="s">
        <v>44</v>
      </c>
    </row>
    <row r="267" spans="1:16" x14ac:dyDescent="0.25">
      <c r="A267" s="3" t="s">
        <v>521</v>
      </c>
      <c r="B267" s="3" t="s">
        <v>202</v>
      </c>
      <c r="C267" s="3" t="s">
        <v>77</v>
      </c>
      <c r="D267" s="3" t="s">
        <v>40</v>
      </c>
      <c r="E267" s="3" t="s">
        <v>53</v>
      </c>
      <c r="F267" s="3" t="s">
        <v>71</v>
      </c>
      <c r="G267" s="3">
        <v>3</v>
      </c>
      <c r="H267" s="3">
        <v>8000</v>
      </c>
      <c r="I267" s="3">
        <v>20</v>
      </c>
      <c r="J267" s="3">
        <v>19200</v>
      </c>
      <c r="K267" s="3">
        <v>5000</v>
      </c>
      <c r="L267" s="3">
        <v>15000</v>
      </c>
      <c r="M267" s="3">
        <v>4200</v>
      </c>
      <c r="N267" s="3" t="s">
        <v>42</v>
      </c>
      <c r="O267" s="3" t="s">
        <v>36</v>
      </c>
      <c r="P267" s="3" t="s">
        <v>24</v>
      </c>
    </row>
    <row r="268" spans="1:16" x14ac:dyDescent="0.25">
      <c r="A268" s="2" t="s">
        <v>522</v>
      </c>
      <c r="B268" s="2" t="s">
        <v>523</v>
      </c>
      <c r="C268" s="2" t="s">
        <v>39</v>
      </c>
      <c r="D268" s="2" t="s">
        <v>40</v>
      </c>
      <c r="E268" s="2" t="s">
        <v>93</v>
      </c>
      <c r="F268" s="2" t="s">
        <v>188</v>
      </c>
      <c r="G268" s="2">
        <v>13</v>
      </c>
      <c r="H268" s="2">
        <v>1500</v>
      </c>
      <c r="I268" s="2">
        <v>10</v>
      </c>
      <c r="J268" s="2">
        <v>17550</v>
      </c>
      <c r="K268" s="2">
        <v>1100</v>
      </c>
      <c r="L268" s="2">
        <v>14300</v>
      </c>
      <c r="M268" s="2">
        <v>3250</v>
      </c>
      <c r="N268" s="2" t="s">
        <v>42</v>
      </c>
      <c r="O268" s="2" t="s">
        <v>43</v>
      </c>
      <c r="P268" s="2" t="s">
        <v>44</v>
      </c>
    </row>
    <row r="269" spans="1:16" x14ac:dyDescent="0.25">
      <c r="A269" s="3" t="s">
        <v>524</v>
      </c>
      <c r="B269" s="3" t="s">
        <v>88</v>
      </c>
      <c r="C269" s="3" t="s">
        <v>122</v>
      </c>
      <c r="D269" s="3" t="s">
        <v>52</v>
      </c>
      <c r="E269" s="3" t="s">
        <v>20</v>
      </c>
      <c r="F269" s="3" t="s">
        <v>65</v>
      </c>
      <c r="G269" s="3">
        <v>5</v>
      </c>
      <c r="H269" s="3">
        <v>18000</v>
      </c>
      <c r="I269" s="3">
        <v>0</v>
      </c>
      <c r="J269" s="3">
        <v>90000</v>
      </c>
      <c r="K269" s="3">
        <v>12000</v>
      </c>
      <c r="L269" s="3">
        <v>60000</v>
      </c>
      <c r="M269" s="3">
        <v>30000</v>
      </c>
      <c r="N269" s="3" t="s">
        <v>22</v>
      </c>
      <c r="O269" s="3" t="s">
        <v>66</v>
      </c>
      <c r="P269" s="3" t="s">
        <v>44</v>
      </c>
    </row>
    <row r="270" spans="1:16" x14ac:dyDescent="0.25">
      <c r="A270" s="2" t="s">
        <v>525</v>
      </c>
      <c r="B270" s="2" t="s">
        <v>121</v>
      </c>
      <c r="C270" s="2" t="s">
        <v>63</v>
      </c>
      <c r="D270" s="2" t="s">
        <v>27</v>
      </c>
      <c r="E270" s="2" t="s">
        <v>28</v>
      </c>
      <c r="F270" s="2" t="s">
        <v>29</v>
      </c>
      <c r="G270" s="2">
        <v>3</v>
      </c>
      <c r="H270" s="2">
        <v>25000</v>
      </c>
      <c r="I270" s="2">
        <v>10</v>
      </c>
      <c r="J270" s="2">
        <v>67500</v>
      </c>
      <c r="K270" s="2">
        <v>18000</v>
      </c>
      <c r="L270" s="2">
        <v>54000</v>
      </c>
      <c r="M270" s="2">
        <v>13500</v>
      </c>
      <c r="N270" s="2" t="s">
        <v>22</v>
      </c>
      <c r="O270" s="2" t="s">
        <v>30</v>
      </c>
      <c r="P270" s="2" t="s">
        <v>44</v>
      </c>
    </row>
    <row r="271" spans="1:16" x14ac:dyDescent="0.25">
      <c r="A271" s="3" t="s">
        <v>526</v>
      </c>
      <c r="B271" s="3" t="s">
        <v>211</v>
      </c>
      <c r="C271" s="3" t="s">
        <v>77</v>
      </c>
      <c r="D271" s="3" t="s">
        <v>19</v>
      </c>
      <c r="E271" s="3" t="s">
        <v>20</v>
      </c>
      <c r="F271" s="3" t="s">
        <v>59</v>
      </c>
      <c r="G271" s="3">
        <v>13</v>
      </c>
      <c r="H271" s="3">
        <v>12000</v>
      </c>
      <c r="I271" s="3">
        <v>0</v>
      </c>
      <c r="J271" s="3">
        <v>156000</v>
      </c>
      <c r="K271" s="3">
        <v>8000</v>
      </c>
      <c r="L271" s="3">
        <v>104000</v>
      </c>
      <c r="M271" s="3">
        <v>52000</v>
      </c>
      <c r="N271" s="3" t="s">
        <v>22</v>
      </c>
      <c r="O271" s="3" t="s">
        <v>30</v>
      </c>
      <c r="P271" s="3" t="s">
        <v>44</v>
      </c>
    </row>
    <row r="272" spans="1:16" x14ac:dyDescent="0.25">
      <c r="A272" s="2" t="s">
        <v>527</v>
      </c>
      <c r="B272" s="2" t="s">
        <v>516</v>
      </c>
      <c r="C272" s="2" t="s">
        <v>77</v>
      </c>
      <c r="D272" s="2" t="s">
        <v>40</v>
      </c>
      <c r="E272" s="2" t="s">
        <v>34</v>
      </c>
      <c r="F272" s="2" t="s">
        <v>41</v>
      </c>
      <c r="G272" s="2">
        <v>10</v>
      </c>
      <c r="H272" s="2">
        <v>3000</v>
      </c>
      <c r="I272" s="2">
        <v>10</v>
      </c>
      <c r="J272" s="2">
        <v>27000</v>
      </c>
      <c r="K272" s="2">
        <v>1500</v>
      </c>
      <c r="L272" s="2">
        <v>15000</v>
      </c>
      <c r="M272" s="2">
        <v>12000</v>
      </c>
      <c r="N272" s="2" t="s">
        <v>42</v>
      </c>
      <c r="O272" s="2" t="s">
        <v>36</v>
      </c>
      <c r="P272" s="2" t="s">
        <v>44</v>
      </c>
    </row>
    <row r="273" spans="1:16" x14ac:dyDescent="0.25">
      <c r="A273" s="3" t="s">
        <v>528</v>
      </c>
      <c r="B273" s="3" t="s">
        <v>529</v>
      </c>
      <c r="C273" s="3" t="s">
        <v>39</v>
      </c>
      <c r="D273" s="3" t="s">
        <v>27</v>
      </c>
      <c r="E273" s="3" t="s">
        <v>20</v>
      </c>
      <c r="F273" s="3" t="s">
        <v>59</v>
      </c>
      <c r="G273" s="3">
        <v>3</v>
      </c>
      <c r="H273" s="3">
        <v>12000</v>
      </c>
      <c r="I273" s="3">
        <v>10</v>
      </c>
      <c r="J273" s="3">
        <v>32400</v>
      </c>
      <c r="K273" s="3">
        <v>8000</v>
      </c>
      <c r="L273" s="3">
        <v>24000</v>
      </c>
      <c r="M273" s="3">
        <v>8400</v>
      </c>
      <c r="N273" s="3" t="s">
        <v>42</v>
      </c>
      <c r="O273" s="3" t="s">
        <v>36</v>
      </c>
      <c r="P273" s="3" t="s">
        <v>24</v>
      </c>
    </row>
    <row r="274" spans="1:16" x14ac:dyDescent="0.25">
      <c r="A274" s="2" t="s">
        <v>530</v>
      </c>
      <c r="B274" s="2" t="s">
        <v>531</v>
      </c>
      <c r="C274" s="2" t="s">
        <v>47</v>
      </c>
      <c r="D274" s="2" t="s">
        <v>64</v>
      </c>
      <c r="E274" s="2" t="s">
        <v>93</v>
      </c>
      <c r="F274" s="2" t="s">
        <v>119</v>
      </c>
      <c r="G274" s="2">
        <v>5</v>
      </c>
      <c r="H274" s="2">
        <v>800</v>
      </c>
      <c r="I274" s="2">
        <v>10</v>
      </c>
      <c r="J274" s="2">
        <v>3600</v>
      </c>
      <c r="K274" s="2">
        <v>600</v>
      </c>
      <c r="L274" s="2">
        <v>3000</v>
      </c>
      <c r="M274" s="2">
        <v>600</v>
      </c>
      <c r="N274" s="2" t="s">
        <v>22</v>
      </c>
      <c r="O274" s="2" t="s">
        <v>66</v>
      </c>
      <c r="P274" s="2" t="s">
        <v>44</v>
      </c>
    </row>
    <row r="275" spans="1:16" x14ac:dyDescent="0.25">
      <c r="A275" s="3" t="s">
        <v>532</v>
      </c>
      <c r="B275" s="3" t="s">
        <v>533</v>
      </c>
      <c r="C275" s="3" t="s">
        <v>77</v>
      </c>
      <c r="D275" s="3" t="s">
        <v>52</v>
      </c>
      <c r="E275" s="3" t="s">
        <v>93</v>
      </c>
      <c r="F275" s="3" t="s">
        <v>98</v>
      </c>
      <c r="G275" s="3">
        <v>14</v>
      </c>
      <c r="H275" s="3">
        <v>400</v>
      </c>
      <c r="I275" s="3">
        <v>25</v>
      </c>
      <c r="J275" s="3">
        <v>4200</v>
      </c>
      <c r="K275" s="3">
        <v>280</v>
      </c>
      <c r="L275" s="3">
        <v>3920</v>
      </c>
      <c r="M275" s="3">
        <v>280</v>
      </c>
      <c r="N275" s="3" t="s">
        <v>22</v>
      </c>
      <c r="O275" s="3" t="s">
        <v>55</v>
      </c>
      <c r="P275" s="3" t="s">
        <v>44</v>
      </c>
    </row>
    <row r="276" spans="1:16" x14ac:dyDescent="0.25">
      <c r="A276" s="2" t="s">
        <v>534</v>
      </c>
      <c r="B276" s="2" t="s">
        <v>184</v>
      </c>
      <c r="C276" s="2" t="s">
        <v>33</v>
      </c>
      <c r="D276" s="2" t="s">
        <v>74</v>
      </c>
      <c r="E276" s="2" t="s">
        <v>20</v>
      </c>
      <c r="F276" s="2" t="s">
        <v>21</v>
      </c>
      <c r="G276" s="2">
        <v>13</v>
      </c>
      <c r="H276" s="2">
        <v>3500</v>
      </c>
      <c r="I276" s="2">
        <v>10</v>
      </c>
      <c r="J276" s="2">
        <v>40950</v>
      </c>
      <c r="K276" s="2">
        <v>2000</v>
      </c>
      <c r="L276" s="2">
        <v>26000</v>
      </c>
      <c r="M276" s="2">
        <v>14950</v>
      </c>
      <c r="N276" s="2" t="s">
        <v>42</v>
      </c>
      <c r="O276" s="2" t="s">
        <v>23</v>
      </c>
      <c r="P276" s="2" t="s">
        <v>24</v>
      </c>
    </row>
    <row r="277" spans="1:16" x14ac:dyDescent="0.25">
      <c r="A277" s="3" t="s">
        <v>535</v>
      </c>
      <c r="B277" s="3" t="s">
        <v>245</v>
      </c>
      <c r="C277" s="3" t="s">
        <v>47</v>
      </c>
      <c r="D277" s="3" t="s">
        <v>64</v>
      </c>
      <c r="E277" s="3" t="s">
        <v>20</v>
      </c>
      <c r="F277" s="3" t="s">
        <v>59</v>
      </c>
      <c r="G277" s="3">
        <v>9</v>
      </c>
      <c r="H277" s="3">
        <v>12000</v>
      </c>
      <c r="I277" s="3">
        <v>15</v>
      </c>
      <c r="J277" s="3">
        <v>91800</v>
      </c>
      <c r="K277" s="3">
        <v>8000</v>
      </c>
      <c r="L277" s="3">
        <v>72000</v>
      </c>
      <c r="M277" s="3">
        <v>19800</v>
      </c>
      <c r="N277" s="3" t="s">
        <v>42</v>
      </c>
      <c r="O277" s="3" t="s">
        <v>43</v>
      </c>
      <c r="P277" s="3" t="s">
        <v>95</v>
      </c>
    </row>
    <row r="278" spans="1:16" x14ac:dyDescent="0.25">
      <c r="A278" s="2" t="s">
        <v>536</v>
      </c>
      <c r="B278" s="2" t="s">
        <v>537</v>
      </c>
      <c r="C278" s="2" t="s">
        <v>47</v>
      </c>
      <c r="D278" s="2" t="s">
        <v>40</v>
      </c>
      <c r="E278" s="2" t="s">
        <v>53</v>
      </c>
      <c r="F278" s="2" t="s">
        <v>82</v>
      </c>
      <c r="G278" s="2">
        <v>15</v>
      </c>
      <c r="H278" s="2">
        <v>4000</v>
      </c>
      <c r="I278" s="2">
        <v>25</v>
      </c>
      <c r="J278" s="2">
        <v>45000</v>
      </c>
      <c r="K278" s="2">
        <v>2500</v>
      </c>
      <c r="L278" s="2">
        <v>37500</v>
      </c>
      <c r="M278" s="2">
        <v>7500</v>
      </c>
      <c r="N278" s="2" t="s">
        <v>22</v>
      </c>
      <c r="O278" s="2" t="s">
        <v>66</v>
      </c>
      <c r="P278" s="2" t="s">
        <v>86</v>
      </c>
    </row>
    <row r="279" spans="1:16" x14ac:dyDescent="0.25">
      <c r="A279" s="3" t="s">
        <v>538</v>
      </c>
      <c r="B279" s="3" t="s">
        <v>364</v>
      </c>
      <c r="C279" s="3" t="s">
        <v>18</v>
      </c>
      <c r="D279" s="3" t="s">
        <v>27</v>
      </c>
      <c r="E279" s="3" t="s">
        <v>93</v>
      </c>
      <c r="F279" s="3" t="s">
        <v>188</v>
      </c>
      <c r="G279" s="3">
        <v>10</v>
      </c>
      <c r="H279" s="3">
        <v>1500</v>
      </c>
      <c r="I279" s="3">
        <v>5</v>
      </c>
      <c r="J279" s="3">
        <v>14250</v>
      </c>
      <c r="K279" s="3">
        <v>1100</v>
      </c>
      <c r="L279" s="3">
        <v>11000</v>
      </c>
      <c r="M279" s="3">
        <v>3250</v>
      </c>
      <c r="N279" s="3" t="s">
        <v>42</v>
      </c>
      <c r="O279" s="3" t="s">
        <v>23</v>
      </c>
      <c r="P279" s="3" t="s">
        <v>44</v>
      </c>
    </row>
    <row r="280" spans="1:16" x14ac:dyDescent="0.25">
      <c r="A280" s="2" t="s">
        <v>539</v>
      </c>
      <c r="B280" s="2" t="s">
        <v>540</v>
      </c>
      <c r="C280" s="2" t="s">
        <v>77</v>
      </c>
      <c r="D280" s="2" t="s">
        <v>159</v>
      </c>
      <c r="E280" s="2" t="s">
        <v>93</v>
      </c>
      <c r="F280" s="2" t="s">
        <v>94</v>
      </c>
      <c r="G280" s="2">
        <v>16</v>
      </c>
      <c r="H280" s="2">
        <v>1200</v>
      </c>
      <c r="I280" s="2">
        <v>20</v>
      </c>
      <c r="J280" s="2">
        <v>15360</v>
      </c>
      <c r="K280" s="2">
        <v>900</v>
      </c>
      <c r="L280" s="2">
        <v>14400</v>
      </c>
      <c r="M280" s="2">
        <v>960</v>
      </c>
      <c r="N280" s="2" t="s">
        <v>42</v>
      </c>
      <c r="O280" s="2" t="s">
        <v>30</v>
      </c>
      <c r="P280" s="2" t="s">
        <v>44</v>
      </c>
    </row>
    <row r="281" spans="1:16" x14ac:dyDescent="0.25">
      <c r="A281" s="3" t="s">
        <v>541</v>
      </c>
      <c r="B281" s="3" t="s">
        <v>364</v>
      </c>
      <c r="C281" s="3" t="s">
        <v>77</v>
      </c>
      <c r="D281" s="3" t="s">
        <v>19</v>
      </c>
      <c r="E281" s="3" t="s">
        <v>20</v>
      </c>
      <c r="F281" s="3" t="s">
        <v>137</v>
      </c>
      <c r="G281" s="3">
        <v>20</v>
      </c>
      <c r="H281" s="3">
        <v>15000</v>
      </c>
      <c r="I281" s="3">
        <v>25</v>
      </c>
      <c r="J281" s="3">
        <v>225000</v>
      </c>
      <c r="K281" s="3">
        <v>10000</v>
      </c>
      <c r="L281" s="3">
        <v>200000</v>
      </c>
      <c r="M281" s="3">
        <v>25000</v>
      </c>
      <c r="N281" s="3" t="s">
        <v>22</v>
      </c>
      <c r="O281" s="3" t="s">
        <v>43</v>
      </c>
      <c r="P281" s="3" t="s">
        <v>86</v>
      </c>
    </row>
    <row r="282" spans="1:16" x14ac:dyDescent="0.25">
      <c r="A282" s="2" t="s">
        <v>542</v>
      </c>
      <c r="B282" s="2" t="s">
        <v>129</v>
      </c>
      <c r="C282" s="2" t="s">
        <v>100</v>
      </c>
      <c r="D282" s="2" t="s">
        <v>40</v>
      </c>
      <c r="E282" s="2" t="s">
        <v>53</v>
      </c>
      <c r="F282" s="2" t="s">
        <v>82</v>
      </c>
      <c r="G282" s="2">
        <v>19</v>
      </c>
      <c r="H282" s="2">
        <v>4000</v>
      </c>
      <c r="I282" s="2">
        <v>25</v>
      </c>
      <c r="J282" s="2">
        <v>57000</v>
      </c>
      <c r="K282" s="2">
        <v>2500</v>
      </c>
      <c r="L282" s="2">
        <v>47500</v>
      </c>
      <c r="M282" s="2">
        <v>9500</v>
      </c>
      <c r="N282" s="2" t="s">
        <v>42</v>
      </c>
      <c r="O282" s="2" t="s">
        <v>55</v>
      </c>
      <c r="P282" s="2" t="s">
        <v>95</v>
      </c>
    </row>
    <row r="283" spans="1:16" x14ac:dyDescent="0.25">
      <c r="A283" s="3" t="s">
        <v>543</v>
      </c>
      <c r="B283" s="3" t="s">
        <v>167</v>
      </c>
      <c r="C283" s="3" t="s">
        <v>18</v>
      </c>
      <c r="D283" s="3" t="s">
        <v>19</v>
      </c>
      <c r="E283" s="3" t="s">
        <v>28</v>
      </c>
      <c r="F283" s="3" t="s">
        <v>274</v>
      </c>
      <c r="G283" s="3">
        <v>8</v>
      </c>
      <c r="H283" s="3">
        <v>35000</v>
      </c>
      <c r="I283" s="3">
        <v>20</v>
      </c>
      <c r="J283" s="3">
        <v>224000</v>
      </c>
      <c r="K283" s="3">
        <v>26000</v>
      </c>
      <c r="L283" s="3">
        <v>208000</v>
      </c>
      <c r="M283" s="3">
        <v>16000</v>
      </c>
      <c r="N283" s="3" t="s">
        <v>22</v>
      </c>
      <c r="O283" s="3" t="s">
        <v>66</v>
      </c>
      <c r="P283" s="3" t="s">
        <v>44</v>
      </c>
    </row>
    <row r="284" spans="1:16" x14ac:dyDescent="0.25">
      <c r="A284" s="2" t="s">
        <v>544</v>
      </c>
      <c r="B284" s="2" t="s">
        <v>177</v>
      </c>
      <c r="C284" s="2" t="s">
        <v>47</v>
      </c>
      <c r="D284" s="2" t="s">
        <v>40</v>
      </c>
      <c r="E284" s="2" t="s">
        <v>20</v>
      </c>
      <c r="F284" s="2" t="s">
        <v>65</v>
      </c>
      <c r="G284" s="2">
        <v>16</v>
      </c>
      <c r="H284" s="2">
        <v>18000</v>
      </c>
      <c r="I284" s="2">
        <v>0</v>
      </c>
      <c r="J284" s="2">
        <v>288000</v>
      </c>
      <c r="K284" s="2">
        <v>12000</v>
      </c>
      <c r="L284" s="2">
        <v>192000</v>
      </c>
      <c r="M284" s="2">
        <v>96000</v>
      </c>
      <c r="N284" s="2" t="s">
        <v>42</v>
      </c>
      <c r="O284" s="2" t="s">
        <v>66</v>
      </c>
      <c r="P284" s="2" t="s">
        <v>95</v>
      </c>
    </row>
    <row r="285" spans="1:16" x14ac:dyDescent="0.25">
      <c r="A285" s="3" t="s">
        <v>545</v>
      </c>
      <c r="B285" s="3" t="s">
        <v>317</v>
      </c>
      <c r="C285" s="3" t="s">
        <v>18</v>
      </c>
      <c r="D285" s="3" t="s">
        <v>40</v>
      </c>
      <c r="E285" s="3" t="s">
        <v>20</v>
      </c>
      <c r="F285" s="3" t="s">
        <v>182</v>
      </c>
      <c r="G285" s="3">
        <v>11</v>
      </c>
      <c r="H285" s="3">
        <v>5000</v>
      </c>
      <c r="I285" s="3">
        <v>15</v>
      </c>
      <c r="J285" s="3">
        <v>46750</v>
      </c>
      <c r="K285" s="3">
        <v>3000</v>
      </c>
      <c r="L285" s="3">
        <v>33000</v>
      </c>
      <c r="M285" s="3">
        <v>13750</v>
      </c>
      <c r="N285" s="3" t="s">
        <v>22</v>
      </c>
      <c r="O285" s="3" t="s">
        <v>30</v>
      </c>
      <c r="P285" s="3" t="s">
        <v>44</v>
      </c>
    </row>
    <row r="286" spans="1:16" x14ac:dyDescent="0.25">
      <c r="A286" s="2" t="s">
        <v>546</v>
      </c>
      <c r="B286" s="2" t="s">
        <v>179</v>
      </c>
      <c r="C286" s="2" t="s">
        <v>18</v>
      </c>
      <c r="D286" s="2" t="s">
        <v>74</v>
      </c>
      <c r="E286" s="2" t="s">
        <v>93</v>
      </c>
      <c r="F286" s="2" t="s">
        <v>98</v>
      </c>
      <c r="G286" s="2">
        <v>3</v>
      </c>
      <c r="H286" s="2">
        <v>400</v>
      </c>
      <c r="I286" s="2">
        <v>10</v>
      </c>
      <c r="J286" s="2">
        <v>1080</v>
      </c>
      <c r="K286" s="2">
        <v>280</v>
      </c>
      <c r="L286" s="2">
        <v>840</v>
      </c>
      <c r="M286" s="2">
        <v>240</v>
      </c>
      <c r="N286" s="2" t="s">
        <v>22</v>
      </c>
      <c r="O286" s="2" t="s">
        <v>23</v>
      </c>
      <c r="P286" s="2" t="s">
        <v>44</v>
      </c>
    </row>
    <row r="287" spans="1:16" x14ac:dyDescent="0.25">
      <c r="A287" s="3" t="s">
        <v>547</v>
      </c>
      <c r="B287" s="3" t="s">
        <v>351</v>
      </c>
      <c r="C287" s="3" t="s">
        <v>18</v>
      </c>
      <c r="D287" s="3" t="s">
        <v>40</v>
      </c>
      <c r="E287" s="3" t="s">
        <v>34</v>
      </c>
      <c r="F287" s="3" t="s">
        <v>89</v>
      </c>
      <c r="G287" s="3">
        <v>6</v>
      </c>
      <c r="H287" s="3">
        <v>4500</v>
      </c>
      <c r="I287" s="3">
        <v>20</v>
      </c>
      <c r="J287" s="3">
        <v>21600</v>
      </c>
      <c r="K287" s="3">
        <v>2500</v>
      </c>
      <c r="L287" s="3">
        <v>15000</v>
      </c>
      <c r="M287" s="3">
        <v>6600</v>
      </c>
      <c r="N287" s="3" t="s">
        <v>22</v>
      </c>
      <c r="O287" s="3" t="s">
        <v>55</v>
      </c>
      <c r="P287" s="3" t="s">
        <v>44</v>
      </c>
    </row>
    <row r="288" spans="1:16" x14ac:dyDescent="0.25">
      <c r="A288" s="2" t="s">
        <v>548</v>
      </c>
      <c r="B288" s="2" t="s">
        <v>549</v>
      </c>
      <c r="C288" s="2" t="s">
        <v>33</v>
      </c>
      <c r="D288" s="2" t="s">
        <v>27</v>
      </c>
      <c r="E288" s="2" t="s">
        <v>34</v>
      </c>
      <c r="F288" s="2" t="s">
        <v>146</v>
      </c>
      <c r="G288" s="2">
        <v>14</v>
      </c>
      <c r="H288" s="2">
        <v>3500</v>
      </c>
      <c r="I288" s="2">
        <v>15</v>
      </c>
      <c r="J288" s="2">
        <v>41650</v>
      </c>
      <c r="K288" s="2">
        <v>1800</v>
      </c>
      <c r="L288" s="2">
        <v>25200</v>
      </c>
      <c r="M288" s="2">
        <v>16450</v>
      </c>
      <c r="N288" s="2" t="s">
        <v>22</v>
      </c>
      <c r="O288" s="2" t="s">
        <v>23</v>
      </c>
      <c r="P288" s="2" t="s">
        <v>24</v>
      </c>
    </row>
    <row r="289" spans="1:16" x14ac:dyDescent="0.25">
      <c r="A289" s="3" t="s">
        <v>550</v>
      </c>
      <c r="B289" s="3" t="s">
        <v>171</v>
      </c>
      <c r="C289" s="3" t="s">
        <v>122</v>
      </c>
      <c r="D289" s="3" t="s">
        <v>27</v>
      </c>
      <c r="E289" s="3" t="s">
        <v>93</v>
      </c>
      <c r="F289" s="3" t="s">
        <v>119</v>
      </c>
      <c r="G289" s="3">
        <v>7</v>
      </c>
      <c r="H289" s="3">
        <v>800</v>
      </c>
      <c r="I289" s="3">
        <v>5</v>
      </c>
      <c r="J289" s="3">
        <v>5320</v>
      </c>
      <c r="K289" s="3">
        <v>600</v>
      </c>
      <c r="L289" s="3">
        <v>4200</v>
      </c>
      <c r="M289" s="3">
        <v>1120</v>
      </c>
      <c r="N289" s="3" t="s">
        <v>42</v>
      </c>
      <c r="O289" s="3" t="s">
        <v>23</v>
      </c>
      <c r="P289" s="3" t="s">
        <v>86</v>
      </c>
    </row>
    <row r="290" spans="1:16" x14ac:dyDescent="0.25">
      <c r="A290" s="2" t="s">
        <v>551</v>
      </c>
      <c r="B290" s="2" t="s">
        <v>76</v>
      </c>
      <c r="C290" s="2" t="s">
        <v>47</v>
      </c>
      <c r="D290" s="2" t="s">
        <v>159</v>
      </c>
      <c r="E290" s="2" t="s">
        <v>53</v>
      </c>
      <c r="F290" s="2" t="s">
        <v>54</v>
      </c>
      <c r="G290" s="2">
        <v>12</v>
      </c>
      <c r="H290" s="2">
        <v>2000</v>
      </c>
      <c r="I290" s="2">
        <v>10</v>
      </c>
      <c r="J290" s="2">
        <v>21600</v>
      </c>
      <c r="K290" s="2">
        <v>1200</v>
      </c>
      <c r="L290" s="2">
        <v>14400</v>
      </c>
      <c r="M290" s="2">
        <v>7200</v>
      </c>
      <c r="N290" s="2" t="s">
        <v>22</v>
      </c>
      <c r="O290" s="2" t="s">
        <v>66</v>
      </c>
      <c r="P290" s="2" t="s">
        <v>44</v>
      </c>
    </row>
    <row r="291" spans="1:16" x14ac:dyDescent="0.25">
      <c r="A291" s="3" t="s">
        <v>552</v>
      </c>
      <c r="B291" s="3" t="s">
        <v>296</v>
      </c>
      <c r="C291" s="3" t="s">
        <v>122</v>
      </c>
      <c r="D291" s="3" t="s">
        <v>52</v>
      </c>
      <c r="E291" s="3" t="s">
        <v>53</v>
      </c>
      <c r="F291" s="3" t="s">
        <v>71</v>
      </c>
      <c r="G291" s="3">
        <v>20</v>
      </c>
      <c r="H291" s="3">
        <v>8000</v>
      </c>
      <c r="I291" s="3">
        <v>15</v>
      </c>
      <c r="J291" s="3">
        <v>136000</v>
      </c>
      <c r="K291" s="3">
        <v>5000</v>
      </c>
      <c r="L291" s="3">
        <v>100000</v>
      </c>
      <c r="M291" s="3">
        <v>36000</v>
      </c>
      <c r="N291" s="3" t="s">
        <v>22</v>
      </c>
      <c r="O291" s="3" t="s">
        <v>55</v>
      </c>
      <c r="P291" s="3" t="s">
        <v>44</v>
      </c>
    </row>
    <row r="292" spans="1:16" x14ac:dyDescent="0.25">
      <c r="A292" s="2" t="s">
        <v>553</v>
      </c>
      <c r="B292" s="2" t="s">
        <v>386</v>
      </c>
      <c r="C292" s="2" t="s">
        <v>47</v>
      </c>
      <c r="D292" s="2" t="s">
        <v>40</v>
      </c>
      <c r="E292" s="2" t="s">
        <v>20</v>
      </c>
      <c r="F292" s="2" t="s">
        <v>137</v>
      </c>
      <c r="G292" s="2">
        <v>19</v>
      </c>
      <c r="H292" s="2">
        <v>15000</v>
      </c>
      <c r="I292" s="2">
        <v>0</v>
      </c>
      <c r="J292" s="2">
        <v>285000</v>
      </c>
      <c r="K292" s="2">
        <v>10000</v>
      </c>
      <c r="L292" s="2">
        <v>190000</v>
      </c>
      <c r="M292" s="2">
        <v>95000</v>
      </c>
      <c r="N292" s="2" t="s">
        <v>22</v>
      </c>
      <c r="O292" s="2" t="s">
        <v>55</v>
      </c>
      <c r="P292" s="2" t="s">
        <v>44</v>
      </c>
    </row>
    <row r="293" spans="1:16" x14ac:dyDescent="0.25">
      <c r="A293" s="3" t="s">
        <v>554</v>
      </c>
      <c r="B293" s="3" t="s">
        <v>217</v>
      </c>
      <c r="C293" s="3" t="s">
        <v>18</v>
      </c>
      <c r="D293" s="3" t="s">
        <v>40</v>
      </c>
      <c r="E293" s="3" t="s">
        <v>20</v>
      </c>
      <c r="F293" s="3" t="s">
        <v>21</v>
      </c>
      <c r="G293" s="3">
        <v>17</v>
      </c>
      <c r="H293" s="3">
        <v>3500</v>
      </c>
      <c r="I293" s="3">
        <v>15</v>
      </c>
      <c r="J293" s="3">
        <v>50575</v>
      </c>
      <c r="K293" s="3">
        <v>2000</v>
      </c>
      <c r="L293" s="3">
        <v>34000</v>
      </c>
      <c r="M293" s="3">
        <v>16575</v>
      </c>
      <c r="N293" s="3" t="s">
        <v>42</v>
      </c>
      <c r="O293" s="3" t="s">
        <v>30</v>
      </c>
      <c r="P293" s="3" t="s">
        <v>44</v>
      </c>
    </row>
    <row r="294" spans="1:16" x14ac:dyDescent="0.25">
      <c r="A294" s="2" t="s">
        <v>555</v>
      </c>
      <c r="B294" s="2" t="s">
        <v>556</v>
      </c>
      <c r="C294" s="2" t="s">
        <v>77</v>
      </c>
      <c r="D294" s="2" t="s">
        <v>40</v>
      </c>
      <c r="E294" s="2" t="s">
        <v>93</v>
      </c>
      <c r="F294" s="2" t="s">
        <v>94</v>
      </c>
      <c r="G294" s="2">
        <v>6</v>
      </c>
      <c r="H294" s="2">
        <v>1200</v>
      </c>
      <c r="I294" s="2">
        <v>20</v>
      </c>
      <c r="J294" s="2">
        <v>5760</v>
      </c>
      <c r="K294" s="2">
        <v>900</v>
      </c>
      <c r="L294" s="2">
        <v>5400</v>
      </c>
      <c r="M294" s="2">
        <v>360</v>
      </c>
      <c r="N294" s="2" t="s">
        <v>22</v>
      </c>
      <c r="O294" s="2" t="s">
        <v>66</v>
      </c>
      <c r="P294" s="2" t="s">
        <v>44</v>
      </c>
    </row>
    <row r="295" spans="1:16" x14ac:dyDescent="0.25">
      <c r="A295" s="3" t="s">
        <v>557</v>
      </c>
      <c r="B295" s="3" t="s">
        <v>558</v>
      </c>
      <c r="C295" s="3" t="s">
        <v>100</v>
      </c>
      <c r="D295" s="3" t="s">
        <v>74</v>
      </c>
      <c r="E295" s="3" t="s">
        <v>53</v>
      </c>
      <c r="F295" s="3" t="s">
        <v>82</v>
      </c>
      <c r="G295" s="3">
        <v>12</v>
      </c>
      <c r="H295" s="3">
        <v>4000</v>
      </c>
      <c r="I295" s="3">
        <v>0</v>
      </c>
      <c r="J295" s="3">
        <v>48000</v>
      </c>
      <c r="K295" s="3">
        <v>2500</v>
      </c>
      <c r="L295" s="3">
        <v>30000</v>
      </c>
      <c r="M295" s="3">
        <v>18000</v>
      </c>
      <c r="N295" s="3" t="s">
        <v>42</v>
      </c>
      <c r="O295" s="3" t="s">
        <v>36</v>
      </c>
      <c r="P295" s="3" t="s">
        <v>44</v>
      </c>
    </row>
    <row r="296" spans="1:16" x14ac:dyDescent="0.25">
      <c r="A296" s="2" t="s">
        <v>559</v>
      </c>
      <c r="B296" s="2" t="s">
        <v>556</v>
      </c>
      <c r="C296" s="2" t="s">
        <v>63</v>
      </c>
      <c r="D296" s="2" t="s">
        <v>74</v>
      </c>
      <c r="E296" s="2" t="s">
        <v>93</v>
      </c>
      <c r="F296" s="2" t="s">
        <v>109</v>
      </c>
      <c r="G296" s="2">
        <v>14</v>
      </c>
      <c r="H296" s="2">
        <v>700</v>
      </c>
      <c r="I296" s="2">
        <v>25</v>
      </c>
      <c r="J296" s="2">
        <v>7350</v>
      </c>
      <c r="K296" s="2">
        <v>500</v>
      </c>
      <c r="L296" s="2">
        <v>7000</v>
      </c>
      <c r="M296" s="2">
        <v>350</v>
      </c>
      <c r="N296" s="2" t="s">
        <v>42</v>
      </c>
      <c r="O296" s="2" t="s">
        <v>66</v>
      </c>
      <c r="P296" s="2" t="s">
        <v>44</v>
      </c>
    </row>
    <row r="297" spans="1:16" x14ac:dyDescent="0.25">
      <c r="A297" s="3" t="s">
        <v>560</v>
      </c>
      <c r="B297" s="3" t="s">
        <v>344</v>
      </c>
      <c r="C297" s="3" t="s">
        <v>104</v>
      </c>
      <c r="D297" s="3" t="s">
        <v>64</v>
      </c>
      <c r="E297" s="3" t="s">
        <v>20</v>
      </c>
      <c r="F297" s="3" t="s">
        <v>65</v>
      </c>
      <c r="G297" s="3">
        <v>9</v>
      </c>
      <c r="H297" s="3">
        <v>18000</v>
      </c>
      <c r="I297" s="3">
        <v>5</v>
      </c>
      <c r="J297" s="3">
        <v>153900</v>
      </c>
      <c r="K297" s="3">
        <v>12000</v>
      </c>
      <c r="L297" s="3">
        <v>108000</v>
      </c>
      <c r="M297" s="3">
        <v>45900</v>
      </c>
      <c r="N297" s="3" t="s">
        <v>42</v>
      </c>
      <c r="O297" s="3" t="s">
        <v>36</v>
      </c>
      <c r="P297" s="3" t="s">
        <v>86</v>
      </c>
    </row>
    <row r="298" spans="1:16" x14ac:dyDescent="0.25">
      <c r="A298" s="2" t="s">
        <v>561</v>
      </c>
      <c r="B298" s="2" t="s">
        <v>344</v>
      </c>
      <c r="C298" s="2" t="s">
        <v>122</v>
      </c>
      <c r="D298" s="2" t="s">
        <v>159</v>
      </c>
      <c r="E298" s="2" t="s">
        <v>53</v>
      </c>
      <c r="F298" s="2" t="s">
        <v>82</v>
      </c>
      <c r="G298" s="2">
        <v>9</v>
      </c>
      <c r="H298" s="2">
        <v>4000</v>
      </c>
      <c r="I298" s="2">
        <v>20</v>
      </c>
      <c r="J298" s="2">
        <v>28800</v>
      </c>
      <c r="K298" s="2">
        <v>2500</v>
      </c>
      <c r="L298" s="2">
        <v>22500</v>
      </c>
      <c r="M298" s="2">
        <v>6300</v>
      </c>
      <c r="N298" s="2" t="s">
        <v>42</v>
      </c>
      <c r="O298" s="2" t="s">
        <v>30</v>
      </c>
      <c r="P298" s="2" t="s">
        <v>86</v>
      </c>
    </row>
    <row r="299" spans="1:16" x14ac:dyDescent="0.25">
      <c r="A299" s="3" t="s">
        <v>562</v>
      </c>
      <c r="B299" s="3" t="s">
        <v>349</v>
      </c>
      <c r="C299" s="3" t="s">
        <v>122</v>
      </c>
      <c r="D299" s="3" t="s">
        <v>64</v>
      </c>
      <c r="E299" s="3" t="s">
        <v>93</v>
      </c>
      <c r="F299" s="3" t="s">
        <v>119</v>
      </c>
      <c r="G299" s="3">
        <v>8</v>
      </c>
      <c r="H299" s="3">
        <v>800</v>
      </c>
      <c r="I299" s="3">
        <v>10</v>
      </c>
      <c r="J299" s="3">
        <v>5760</v>
      </c>
      <c r="K299" s="3">
        <v>600</v>
      </c>
      <c r="L299" s="3">
        <v>4800</v>
      </c>
      <c r="M299" s="3">
        <v>960</v>
      </c>
      <c r="N299" s="3" t="s">
        <v>22</v>
      </c>
      <c r="O299" s="3" t="s">
        <v>66</v>
      </c>
      <c r="P299" s="3" t="s">
        <v>44</v>
      </c>
    </row>
    <row r="300" spans="1:16" x14ac:dyDescent="0.25">
      <c r="A300" s="2" t="s">
        <v>563</v>
      </c>
      <c r="B300" s="2" t="s">
        <v>564</v>
      </c>
      <c r="C300" s="2" t="s">
        <v>122</v>
      </c>
      <c r="D300" s="2" t="s">
        <v>159</v>
      </c>
      <c r="E300" s="2" t="s">
        <v>34</v>
      </c>
      <c r="F300" s="2" t="s">
        <v>146</v>
      </c>
      <c r="G300" s="2">
        <v>19</v>
      </c>
      <c r="H300" s="2">
        <v>3500</v>
      </c>
      <c r="I300" s="2">
        <v>25</v>
      </c>
      <c r="J300" s="2">
        <v>49875</v>
      </c>
      <c r="K300" s="2">
        <v>1800</v>
      </c>
      <c r="L300" s="2">
        <v>34200</v>
      </c>
      <c r="M300" s="2">
        <v>15675</v>
      </c>
      <c r="N300" s="2" t="s">
        <v>42</v>
      </c>
      <c r="O300" s="2" t="s">
        <v>23</v>
      </c>
      <c r="P300" s="2" t="s">
        <v>24</v>
      </c>
    </row>
    <row r="301" spans="1:16" x14ac:dyDescent="0.25">
      <c r="A301" s="3" t="s">
        <v>565</v>
      </c>
      <c r="B301" s="3" t="s">
        <v>566</v>
      </c>
      <c r="C301" s="3" t="s">
        <v>92</v>
      </c>
      <c r="D301" s="3" t="s">
        <v>40</v>
      </c>
      <c r="E301" s="3" t="s">
        <v>34</v>
      </c>
      <c r="F301" s="3" t="s">
        <v>146</v>
      </c>
      <c r="G301" s="3">
        <v>2</v>
      </c>
      <c r="H301" s="3">
        <v>3500</v>
      </c>
      <c r="I301" s="3">
        <v>20</v>
      </c>
      <c r="J301" s="3">
        <v>5600</v>
      </c>
      <c r="K301" s="3">
        <v>1800</v>
      </c>
      <c r="L301" s="3">
        <v>3600</v>
      </c>
      <c r="M301" s="3">
        <v>2000</v>
      </c>
      <c r="N301" s="3" t="s">
        <v>42</v>
      </c>
      <c r="O301" s="3" t="s">
        <v>30</v>
      </c>
      <c r="P301" s="3" t="s">
        <v>44</v>
      </c>
    </row>
    <row r="302" spans="1:16" x14ac:dyDescent="0.25">
      <c r="A302" s="2" t="s">
        <v>567</v>
      </c>
      <c r="B302" s="2" t="s">
        <v>568</v>
      </c>
      <c r="C302" s="2" t="s">
        <v>92</v>
      </c>
      <c r="D302" s="2" t="s">
        <v>52</v>
      </c>
      <c r="E302" s="2" t="s">
        <v>20</v>
      </c>
      <c r="F302" s="2" t="s">
        <v>182</v>
      </c>
      <c r="G302" s="2">
        <v>19</v>
      </c>
      <c r="H302" s="2">
        <v>5000</v>
      </c>
      <c r="I302" s="2">
        <v>10</v>
      </c>
      <c r="J302" s="2">
        <v>85500</v>
      </c>
      <c r="K302" s="2">
        <v>3000</v>
      </c>
      <c r="L302" s="2">
        <v>57000</v>
      </c>
      <c r="M302" s="2">
        <v>28500</v>
      </c>
      <c r="N302" s="2" t="s">
        <v>22</v>
      </c>
      <c r="O302" s="2" t="s">
        <v>36</v>
      </c>
      <c r="P302" s="2" t="s">
        <v>95</v>
      </c>
    </row>
    <row r="303" spans="1:16" x14ac:dyDescent="0.25">
      <c r="A303" s="3" t="s">
        <v>569</v>
      </c>
      <c r="B303" s="3" t="s">
        <v>263</v>
      </c>
      <c r="C303" s="3" t="s">
        <v>104</v>
      </c>
      <c r="D303" s="3" t="s">
        <v>48</v>
      </c>
      <c r="E303" s="3" t="s">
        <v>34</v>
      </c>
      <c r="F303" s="3" t="s">
        <v>146</v>
      </c>
      <c r="G303" s="3">
        <v>8</v>
      </c>
      <c r="H303" s="3">
        <v>3500</v>
      </c>
      <c r="I303" s="3">
        <v>5</v>
      </c>
      <c r="J303" s="3">
        <v>26600</v>
      </c>
      <c r="K303" s="3">
        <v>1800</v>
      </c>
      <c r="L303" s="3">
        <v>14400</v>
      </c>
      <c r="M303" s="3">
        <v>12200</v>
      </c>
      <c r="N303" s="3" t="s">
        <v>42</v>
      </c>
      <c r="O303" s="3" t="s">
        <v>36</v>
      </c>
      <c r="P303" s="3" t="s">
        <v>86</v>
      </c>
    </row>
    <row r="304" spans="1:16" x14ac:dyDescent="0.25">
      <c r="A304" s="2" t="s">
        <v>570</v>
      </c>
      <c r="B304" s="2" t="s">
        <v>571</v>
      </c>
      <c r="C304" s="2" t="s">
        <v>77</v>
      </c>
      <c r="D304" s="2" t="s">
        <v>74</v>
      </c>
      <c r="E304" s="2" t="s">
        <v>34</v>
      </c>
      <c r="F304" s="2" t="s">
        <v>89</v>
      </c>
      <c r="G304" s="2">
        <v>9</v>
      </c>
      <c r="H304" s="2">
        <v>4500</v>
      </c>
      <c r="I304" s="2">
        <v>25</v>
      </c>
      <c r="J304" s="2">
        <v>30375</v>
      </c>
      <c r="K304" s="2">
        <v>2500</v>
      </c>
      <c r="L304" s="2">
        <v>22500</v>
      </c>
      <c r="M304" s="2">
        <v>7875</v>
      </c>
      <c r="N304" s="2" t="s">
        <v>42</v>
      </c>
      <c r="O304" s="2" t="s">
        <v>66</v>
      </c>
      <c r="P304" s="2" t="s">
        <v>44</v>
      </c>
    </row>
    <row r="305" spans="1:16" x14ac:dyDescent="0.25">
      <c r="A305" s="3" t="s">
        <v>572</v>
      </c>
      <c r="B305" s="3" t="s">
        <v>311</v>
      </c>
      <c r="C305" s="3" t="s">
        <v>18</v>
      </c>
      <c r="D305" s="3" t="s">
        <v>27</v>
      </c>
      <c r="E305" s="3" t="s">
        <v>53</v>
      </c>
      <c r="F305" s="3" t="s">
        <v>85</v>
      </c>
      <c r="G305" s="3">
        <v>12</v>
      </c>
      <c r="H305" s="3">
        <v>1500</v>
      </c>
      <c r="I305" s="3">
        <v>15</v>
      </c>
      <c r="J305" s="3">
        <v>15300</v>
      </c>
      <c r="K305" s="3">
        <v>800</v>
      </c>
      <c r="L305" s="3">
        <v>9600</v>
      </c>
      <c r="M305" s="3">
        <v>5700</v>
      </c>
      <c r="N305" s="3" t="s">
        <v>42</v>
      </c>
      <c r="O305" s="3" t="s">
        <v>55</v>
      </c>
      <c r="P305" s="3" t="s">
        <v>44</v>
      </c>
    </row>
    <row r="306" spans="1:16" x14ac:dyDescent="0.25">
      <c r="A306" s="2" t="s">
        <v>573</v>
      </c>
      <c r="B306" s="2" t="s">
        <v>574</v>
      </c>
      <c r="C306" s="2" t="s">
        <v>122</v>
      </c>
      <c r="D306" s="2" t="s">
        <v>52</v>
      </c>
      <c r="E306" s="2" t="s">
        <v>28</v>
      </c>
      <c r="F306" s="2" t="s">
        <v>127</v>
      </c>
      <c r="G306" s="2">
        <v>13</v>
      </c>
      <c r="H306" s="2">
        <v>15000</v>
      </c>
      <c r="I306" s="2">
        <v>5</v>
      </c>
      <c r="J306" s="2">
        <v>185250</v>
      </c>
      <c r="K306" s="2">
        <v>10000</v>
      </c>
      <c r="L306" s="2">
        <v>130000</v>
      </c>
      <c r="M306" s="2">
        <v>55250</v>
      </c>
      <c r="N306" s="2" t="s">
        <v>42</v>
      </c>
      <c r="O306" s="2" t="s">
        <v>36</v>
      </c>
      <c r="P306" s="2" t="s">
        <v>44</v>
      </c>
    </row>
    <row r="307" spans="1:16" x14ac:dyDescent="0.25">
      <c r="A307" s="3" t="s">
        <v>575</v>
      </c>
      <c r="B307" s="3" t="s">
        <v>209</v>
      </c>
      <c r="C307" s="3" t="s">
        <v>39</v>
      </c>
      <c r="D307" s="3" t="s">
        <v>52</v>
      </c>
      <c r="E307" s="3" t="s">
        <v>53</v>
      </c>
      <c r="F307" s="3" t="s">
        <v>101</v>
      </c>
      <c r="G307" s="3">
        <v>5</v>
      </c>
      <c r="H307" s="3">
        <v>1200</v>
      </c>
      <c r="I307" s="3">
        <v>20</v>
      </c>
      <c r="J307" s="3">
        <v>4800</v>
      </c>
      <c r="K307" s="3">
        <v>700</v>
      </c>
      <c r="L307" s="3">
        <v>3500</v>
      </c>
      <c r="M307" s="3">
        <v>1300</v>
      </c>
      <c r="N307" s="3" t="s">
        <v>42</v>
      </c>
      <c r="O307" s="3" t="s">
        <v>55</v>
      </c>
      <c r="P307" s="3" t="s">
        <v>86</v>
      </c>
    </row>
    <row r="308" spans="1:16" x14ac:dyDescent="0.25">
      <c r="A308" s="2" t="s">
        <v>576</v>
      </c>
      <c r="B308" s="2" t="s">
        <v>483</v>
      </c>
      <c r="C308" s="2" t="s">
        <v>104</v>
      </c>
      <c r="D308" s="2" t="s">
        <v>159</v>
      </c>
      <c r="E308" s="2" t="s">
        <v>93</v>
      </c>
      <c r="F308" s="2" t="s">
        <v>119</v>
      </c>
      <c r="G308" s="2">
        <v>4</v>
      </c>
      <c r="H308" s="2">
        <v>800</v>
      </c>
      <c r="I308" s="2">
        <v>5</v>
      </c>
      <c r="J308" s="2">
        <v>3040</v>
      </c>
      <c r="K308" s="2">
        <v>600</v>
      </c>
      <c r="L308" s="2">
        <v>2400</v>
      </c>
      <c r="M308" s="2">
        <v>640</v>
      </c>
      <c r="N308" s="2" t="s">
        <v>42</v>
      </c>
      <c r="O308" s="2" t="s">
        <v>66</v>
      </c>
      <c r="P308" s="2" t="s">
        <v>44</v>
      </c>
    </row>
    <row r="309" spans="1:16" x14ac:dyDescent="0.25">
      <c r="A309" s="3" t="s">
        <v>577</v>
      </c>
      <c r="B309" s="3" t="s">
        <v>566</v>
      </c>
      <c r="C309" s="3" t="s">
        <v>33</v>
      </c>
      <c r="D309" s="3" t="s">
        <v>40</v>
      </c>
      <c r="E309" s="3" t="s">
        <v>20</v>
      </c>
      <c r="F309" s="3" t="s">
        <v>21</v>
      </c>
      <c r="G309" s="3">
        <v>9</v>
      </c>
      <c r="H309" s="3">
        <v>3500</v>
      </c>
      <c r="I309" s="3">
        <v>0</v>
      </c>
      <c r="J309" s="3">
        <v>31500</v>
      </c>
      <c r="K309" s="3">
        <v>2000</v>
      </c>
      <c r="L309" s="3">
        <v>18000</v>
      </c>
      <c r="M309" s="3">
        <v>13500</v>
      </c>
      <c r="N309" s="3" t="s">
        <v>42</v>
      </c>
      <c r="O309" s="3" t="s">
        <v>55</v>
      </c>
      <c r="P309" s="3" t="s">
        <v>44</v>
      </c>
    </row>
    <row r="310" spans="1:16" x14ac:dyDescent="0.25">
      <c r="A310" s="2" t="s">
        <v>578</v>
      </c>
      <c r="B310" s="2" t="s">
        <v>579</v>
      </c>
      <c r="C310" s="2" t="s">
        <v>92</v>
      </c>
      <c r="D310" s="2" t="s">
        <v>19</v>
      </c>
      <c r="E310" s="2" t="s">
        <v>93</v>
      </c>
      <c r="F310" s="2" t="s">
        <v>98</v>
      </c>
      <c r="G310" s="2">
        <v>8</v>
      </c>
      <c r="H310" s="2">
        <v>400</v>
      </c>
      <c r="I310" s="2">
        <v>15</v>
      </c>
      <c r="J310" s="2">
        <v>2720</v>
      </c>
      <c r="K310" s="2">
        <v>280</v>
      </c>
      <c r="L310" s="2">
        <v>2240</v>
      </c>
      <c r="M310" s="2">
        <v>480</v>
      </c>
      <c r="N310" s="2" t="s">
        <v>22</v>
      </c>
      <c r="O310" s="2" t="s">
        <v>23</v>
      </c>
      <c r="P310" s="2" t="s">
        <v>44</v>
      </c>
    </row>
    <row r="311" spans="1:16" x14ac:dyDescent="0.25">
      <c r="A311" s="3" t="s">
        <v>580</v>
      </c>
      <c r="B311" s="3" t="s">
        <v>106</v>
      </c>
      <c r="C311" s="3" t="s">
        <v>122</v>
      </c>
      <c r="D311" s="3" t="s">
        <v>159</v>
      </c>
      <c r="E311" s="3" t="s">
        <v>34</v>
      </c>
      <c r="F311" s="3" t="s">
        <v>89</v>
      </c>
      <c r="G311" s="3">
        <v>8</v>
      </c>
      <c r="H311" s="3">
        <v>4500</v>
      </c>
      <c r="I311" s="3">
        <v>20</v>
      </c>
      <c r="J311" s="3">
        <v>28800</v>
      </c>
      <c r="K311" s="3">
        <v>2500</v>
      </c>
      <c r="L311" s="3">
        <v>20000</v>
      </c>
      <c r="M311" s="3">
        <v>8800</v>
      </c>
      <c r="N311" s="3" t="s">
        <v>42</v>
      </c>
      <c r="O311" s="3" t="s">
        <v>43</v>
      </c>
      <c r="P311" s="3" t="s">
        <v>44</v>
      </c>
    </row>
    <row r="312" spans="1:16" x14ac:dyDescent="0.25">
      <c r="A312" s="2" t="s">
        <v>581</v>
      </c>
      <c r="B312" s="2" t="s">
        <v>351</v>
      </c>
      <c r="C312" s="2" t="s">
        <v>18</v>
      </c>
      <c r="D312" s="2" t="s">
        <v>27</v>
      </c>
      <c r="E312" s="2" t="s">
        <v>34</v>
      </c>
      <c r="F312" s="2" t="s">
        <v>35</v>
      </c>
      <c r="G312" s="2">
        <v>3</v>
      </c>
      <c r="H312" s="2">
        <v>6000</v>
      </c>
      <c r="I312" s="2">
        <v>5</v>
      </c>
      <c r="J312" s="2">
        <v>17100</v>
      </c>
      <c r="K312" s="2">
        <v>3500</v>
      </c>
      <c r="L312" s="2">
        <v>10500</v>
      </c>
      <c r="M312" s="2">
        <v>6600</v>
      </c>
      <c r="N312" s="2" t="s">
        <v>42</v>
      </c>
      <c r="O312" s="2" t="s">
        <v>43</v>
      </c>
      <c r="P312" s="2" t="s">
        <v>24</v>
      </c>
    </row>
    <row r="313" spans="1:16" x14ac:dyDescent="0.25">
      <c r="A313" s="3" t="s">
        <v>582</v>
      </c>
      <c r="B313" s="3" t="s">
        <v>391</v>
      </c>
      <c r="C313" s="3" t="s">
        <v>18</v>
      </c>
      <c r="D313" s="3" t="s">
        <v>52</v>
      </c>
      <c r="E313" s="3" t="s">
        <v>20</v>
      </c>
      <c r="F313" s="3" t="s">
        <v>182</v>
      </c>
      <c r="G313" s="3">
        <v>5</v>
      </c>
      <c r="H313" s="3">
        <v>5000</v>
      </c>
      <c r="I313" s="3">
        <v>15</v>
      </c>
      <c r="J313" s="3">
        <v>21250</v>
      </c>
      <c r="K313" s="3">
        <v>3000</v>
      </c>
      <c r="L313" s="3">
        <v>15000</v>
      </c>
      <c r="M313" s="3">
        <v>6250</v>
      </c>
      <c r="N313" s="3" t="s">
        <v>22</v>
      </c>
      <c r="O313" s="3" t="s">
        <v>23</v>
      </c>
      <c r="P313" s="3" t="s">
        <v>56</v>
      </c>
    </row>
    <row r="314" spans="1:16" x14ac:dyDescent="0.25">
      <c r="A314" s="2" t="s">
        <v>583</v>
      </c>
      <c r="B314" s="2" t="s">
        <v>324</v>
      </c>
      <c r="C314" s="2" t="s">
        <v>18</v>
      </c>
      <c r="D314" s="2" t="s">
        <v>19</v>
      </c>
      <c r="E314" s="2" t="s">
        <v>53</v>
      </c>
      <c r="F314" s="2" t="s">
        <v>54</v>
      </c>
      <c r="G314" s="2">
        <v>15</v>
      </c>
      <c r="H314" s="2">
        <v>2000</v>
      </c>
      <c r="I314" s="2">
        <v>10</v>
      </c>
      <c r="J314" s="2">
        <v>27000</v>
      </c>
      <c r="K314" s="2">
        <v>1200</v>
      </c>
      <c r="L314" s="2">
        <v>18000</v>
      </c>
      <c r="M314" s="2">
        <v>9000</v>
      </c>
      <c r="N314" s="2" t="s">
        <v>22</v>
      </c>
      <c r="O314" s="2" t="s">
        <v>23</v>
      </c>
      <c r="P314" s="2" t="s">
        <v>24</v>
      </c>
    </row>
    <row r="315" spans="1:16" x14ac:dyDescent="0.25">
      <c r="A315" s="3" t="s">
        <v>584</v>
      </c>
      <c r="B315" s="3" t="s">
        <v>263</v>
      </c>
      <c r="C315" s="3" t="s">
        <v>47</v>
      </c>
      <c r="D315" s="3" t="s">
        <v>74</v>
      </c>
      <c r="E315" s="3" t="s">
        <v>34</v>
      </c>
      <c r="F315" s="3" t="s">
        <v>196</v>
      </c>
      <c r="G315" s="3">
        <v>4</v>
      </c>
      <c r="H315" s="3">
        <v>2500</v>
      </c>
      <c r="I315" s="3">
        <v>5</v>
      </c>
      <c r="J315" s="3">
        <v>9500</v>
      </c>
      <c r="K315" s="3">
        <v>1200</v>
      </c>
      <c r="L315" s="3">
        <v>4800</v>
      </c>
      <c r="M315" s="3">
        <v>4700</v>
      </c>
      <c r="N315" s="3" t="s">
        <v>22</v>
      </c>
      <c r="O315" s="3" t="s">
        <v>30</v>
      </c>
      <c r="P315" s="3" t="s">
        <v>24</v>
      </c>
    </row>
    <row r="316" spans="1:16" x14ac:dyDescent="0.25">
      <c r="A316" s="2" t="s">
        <v>585</v>
      </c>
      <c r="B316" s="2" t="s">
        <v>357</v>
      </c>
      <c r="C316" s="2" t="s">
        <v>77</v>
      </c>
      <c r="D316" s="2" t="s">
        <v>52</v>
      </c>
      <c r="E316" s="2" t="s">
        <v>34</v>
      </c>
      <c r="F316" s="2" t="s">
        <v>146</v>
      </c>
      <c r="G316" s="2">
        <v>9</v>
      </c>
      <c r="H316" s="2">
        <v>3500</v>
      </c>
      <c r="I316" s="2">
        <v>25</v>
      </c>
      <c r="J316" s="2">
        <v>23625</v>
      </c>
      <c r="K316" s="2">
        <v>1800</v>
      </c>
      <c r="L316" s="2">
        <v>16200</v>
      </c>
      <c r="M316" s="2">
        <v>7425</v>
      </c>
      <c r="N316" s="2" t="s">
        <v>22</v>
      </c>
      <c r="O316" s="2" t="s">
        <v>36</v>
      </c>
      <c r="P316" s="2" t="s">
        <v>44</v>
      </c>
    </row>
    <row r="317" spans="1:16" x14ac:dyDescent="0.25">
      <c r="A317" s="3" t="s">
        <v>586</v>
      </c>
      <c r="B317" s="3" t="s">
        <v>587</v>
      </c>
      <c r="C317" s="3" t="s">
        <v>47</v>
      </c>
      <c r="D317" s="3" t="s">
        <v>48</v>
      </c>
      <c r="E317" s="3" t="s">
        <v>28</v>
      </c>
      <c r="F317" s="3" t="s">
        <v>274</v>
      </c>
      <c r="G317" s="3">
        <v>7</v>
      </c>
      <c r="H317" s="3">
        <v>35000</v>
      </c>
      <c r="I317" s="3">
        <v>20</v>
      </c>
      <c r="J317" s="3">
        <v>196000</v>
      </c>
      <c r="K317" s="3">
        <v>26000</v>
      </c>
      <c r="L317" s="3">
        <v>182000</v>
      </c>
      <c r="M317" s="3">
        <v>14000</v>
      </c>
      <c r="N317" s="3" t="s">
        <v>22</v>
      </c>
      <c r="O317" s="3" t="s">
        <v>23</v>
      </c>
      <c r="P317" s="3" t="s">
        <v>44</v>
      </c>
    </row>
    <row r="318" spans="1:16" x14ac:dyDescent="0.25">
      <c r="A318" s="2" t="s">
        <v>588</v>
      </c>
      <c r="B318" s="2" t="s">
        <v>111</v>
      </c>
      <c r="C318" s="2" t="s">
        <v>104</v>
      </c>
      <c r="D318" s="2" t="s">
        <v>64</v>
      </c>
      <c r="E318" s="2" t="s">
        <v>93</v>
      </c>
      <c r="F318" s="2" t="s">
        <v>109</v>
      </c>
      <c r="G318" s="2">
        <v>4</v>
      </c>
      <c r="H318" s="2">
        <v>700</v>
      </c>
      <c r="I318" s="2">
        <v>5</v>
      </c>
      <c r="J318" s="2">
        <v>2660</v>
      </c>
      <c r="K318" s="2">
        <v>500</v>
      </c>
      <c r="L318" s="2">
        <v>2000</v>
      </c>
      <c r="M318" s="2">
        <v>660</v>
      </c>
      <c r="N318" s="2" t="s">
        <v>42</v>
      </c>
      <c r="O318" s="2" t="s">
        <v>23</v>
      </c>
      <c r="P318" s="2" t="s">
        <v>44</v>
      </c>
    </row>
    <row r="319" spans="1:16" x14ac:dyDescent="0.25">
      <c r="A319" s="3" t="s">
        <v>589</v>
      </c>
      <c r="B319" s="3" t="s">
        <v>590</v>
      </c>
      <c r="C319" s="3" t="s">
        <v>104</v>
      </c>
      <c r="D319" s="3" t="s">
        <v>52</v>
      </c>
      <c r="E319" s="3" t="s">
        <v>20</v>
      </c>
      <c r="F319" s="3" t="s">
        <v>21</v>
      </c>
      <c r="G319" s="3">
        <v>13</v>
      </c>
      <c r="H319" s="3">
        <v>3500</v>
      </c>
      <c r="I319" s="3">
        <v>20</v>
      </c>
      <c r="J319" s="3">
        <v>36400</v>
      </c>
      <c r="K319" s="3">
        <v>2000</v>
      </c>
      <c r="L319" s="3">
        <v>26000</v>
      </c>
      <c r="M319" s="3">
        <v>10400</v>
      </c>
      <c r="N319" s="3" t="s">
        <v>42</v>
      </c>
      <c r="O319" s="3" t="s">
        <v>55</v>
      </c>
      <c r="P319" s="3" t="s">
        <v>44</v>
      </c>
    </row>
    <row r="320" spans="1:16" x14ac:dyDescent="0.25">
      <c r="A320" s="2" t="s">
        <v>591</v>
      </c>
      <c r="B320" s="2" t="s">
        <v>342</v>
      </c>
      <c r="C320" s="2" t="s">
        <v>122</v>
      </c>
      <c r="D320" s="2" t="s">
        <v>159</v>
      </c>
      <c r="E320" s="2" t="s">
        <v>28</v>
      </c>
      <c r="F320" s="2" t="s">
        <v>127</v>
      </c>
      <c r="G320" s="2">
        <v>3</v>
      </c>
      <c r="H320" s="2">
        <v>15000</v>
      </c>
      <c r="I320" s="2">
        <v>0</v>
      </c>
      <c r="J320" s="2">
        <v>45000</v>
      </c>
      <c r="K320" s="2">
        <v>10000</v>
      </c>
      <c r="L320" s="2">
        <v>30000</v>
      </c>
      <c r="M320" s="2">
        <v>15000</v>
      </c>
      <c r="N320" s="2" t="s">
        <v>42</v>
      </c>
      <c r="O320" s="2" t="s">
        <v>36</v>
      </c>
      <c r="P320" s="2" t="s">
        <v>44</v>
      </c>
    </row>
    <row r="321" spans="1:16" x14ac:dyDescent="0.25">
      <c r="A321" s="3" t="s">
        <v>592</v>
      </c>
      <c r="B321" s="3" t="s">
        <v>593</v>
      </c>
      <c r="C321" s="3" t="s">
        <v>77</v>
      </c>
      <c r="D321" s="3" t="s">
        <v>48</v>
      </c>
      <c r="E321" s="3" t="s">
        <v>53</v>
      </c>
      <c r="F321" s="3" t="s">
        <v>71</v>
      </c>
      <c r="G321" s="3">
        <v>14</v>
      </c>
      <c r="H321" s="3">
        <v>8000</v>
      </c>
      <c r="I321" s="3">
        <v>25</v>
      </c>
      <c r="J321" s="3">
        <v>84000</v>
      </c>
      <c r="K321" s="3">
        <v>5000</v>
      </c>
      <c r="L321" s="3">
        <v>70000</v>
      </c>
      <c r="M321" s="3">
        <v>14000</v>
      </c>
      <c r="N321" s="3" t="s">
        <v>42</v>
      </c>
      <c r="O321" s="3" t="s">
        <v>43</v>
      </c>
      <c r="P321" s="3" t="s">
        <v>24</v>
      </c>
    </row>
    <row r="322" spans="1:16" x14ac:dyDescent="0.25">
      <c r="A322" s="2" t="s">
        <v>594</v>
      </c>
      <c r="B322" s="2" t="s">
        <v>568</v>
      </c>
      <c r="C322" s="2" t="s">
        <v>47</v>
      </c>
      <c r="D322" s="2" t="s">
        <v>40</v>
      </c>
      <c r="E322" s="2" t="s">
        <v>20</v>
      </c>
      <c r="F322" s="2" t="s">
        <v>65</v>
      </c>
      <c r="G322" s="2">
        <v>10</v>
      </c>
      <c r="H322" s="2">
        <v>18000</v>
      </c>
      <c r="I322" s="2">
        <v>0</v>
      </c>
      <c r="J322" s="2">
        <v>180000</v>
      </c>
      <c r="K322" s="2">
        <v>12000</v>
      </c>
      <c r="L322" s="2">
        <v>120000</v>
      </c>
      <c r="M322" s="2">
        <v>60000</v>
      </c>
      <c r="N322" s="2" t="s">
        <v>22</v>
      </c>
      <c r="O322" s="2" t="s">
        <v>36</v>
      </c>
      <c r="P322" s="2" t="s">
        <v>44</v>
      </c>
    </row>
    <row r="323" spans="1:16" x14ac:dyDescent="0.25">
      <c r="A323" s="3" t="s">
        <v>595</v>
      </c>
      <c r="B323" s="3" t="s">
        <v>596</v>
      </c>
      <c r="C323" s="3" t="s">
        <v>47</v>
      </c>
      <c r="D323" s="3" t="s">
        <v>159</v>
      </c>
      <c r="E323" s="3" t="s">
        <v>20</v>
      </c>
      <c r="F323" s="3" t="s">
        <v>59</v>
      </c>
      <c r="G323" s="3">
        <v>8</v>
      </c>
      <c r="H323" s="3">
        <v>12000</v>
      </c>
      <c r="I323" s="3">
        <v>0</v>
      </c>
      <c r="J323" s="3">
        <v>96000</v>
      </c>
      <c r="K323" s="3">
        <v>8000</v>
      </c>
      <c r="L323" s="3">
        <v>64000</v>
      </c>
      <c r="M323" s="3">
        <v>32000</v>
      </c>
      <c r="N323" s="3" t="s">
        <v>22</v>
      </c>
      <c r="O323" s="3" t="s">
        <v>43</v>
      </c>
      <c r="P323" s="3" t="s">
        <v>95</v>
      </c>
    </row>
    <row r="324" spans="1:16" x14ac:dyDescent="0.25">
      <c r="A324" s="2" t="s">
        <v>597</v>
      </c>
      <c r="B324" s="2" t="s">
        <v>248</v>
      </c>
      <c r="C324" s="2" t="s">
        <v>122</v>
      </c>
      <c r="D324" s="2" t="s">
        <v>19</v>
      </c>
      <c r="E324" s="2" t="s">
        <v>20</v>
      </c>
      <c r="F324" s="2" t="s">
        <v>21</v>
      </c>
      <c r="G324" s="2">
        <v>4</v>
      </c>
      <c r="H324" s="2">
        <v>3500</v>
      </c>
      <c r="I324" s="2">
        <v>0</v>
      </c>
      <c r="J324" s="2">
        <v>14000</v>
      </c>
      <c r="K324" s="2">
        <v>2000</v>
      </c>
      <c r="L324" s="2">
        <v>8000</v>
      </c>
      <c r="M324" s="2">
        <v>6000</v>
      </c>
      <c r="N324" s="2" t="s">
        <v>22</v>
      </c>
      <c r="O324" s="2" t="s">
        <v>23</v>
      </c>
      <c r="P324" s="2" t="s">
        <v>44</v>
      </c>
    </row>
    <row r="325" spans="1:16" x14ac:dyDescent="0.25">
      <c r="A325" s="3" t="s">
        <v>598</v>
      </c>
      <c r="B325" s="3" t="s">
        <v>277</v>
      </c>
      <c r="C325" s="3" t="s">
        <v>100</v>
      </c>
      <c r="D325" s="3" t="s">
        <v>48</v>
      </c>
      <c r="E325" s="3" t="s">
        <v>34</v>
      </c>
      <c r="F325" s="3" t="s">
        <v>41</v>
      </c>
      <c r="G325" s="3">
        <v>5</v>
      </c>
      <c r="H325" s="3">
        <v>3000</v>
      </c>
      <c r="I325" s="3">
        <v>25</v>
      </c>
      <c r="J325" s="3">
        <v>11250</v>
      </c>
      <c r="K325" s="3">
        <v>1500</v>
      </c>
      <c r="L325" s="3">
        <v>7500</v>
      </c>
      <c r="M325" s="3">
        <v>3750</v>
      </c>
      <c r="N325" s="3" t="s">
        <v>42</v>
      </c>
      <c r="O325" s="3" t="s">
        <v>23</v>
      </c>
      <c r="P325" s="3" t="s">
        <v>86</v>
      </c>
    </row>
    <row r="326" spans="1:16" x14ac:dyDescent="0.25">
      <c r="A326" s="2" t="s">
        <v>599</v>
      </c>
      <c r="B326" s="2" t="s">
        <v>600</v>
      </c>
      <c r="C326" s="2" t="s">
        <v>100</v>
      </c>
      <c r="D326" s="2" t="s">
        <v>27</v>
      </c>
      <c r="E326" s="2" t="s">
        <v>20</v>
      </c>
      <c r="F326" s="2" t="s">
        <v>137</v>
      </c>
      <c r="G326" s="2">
        <v>3</v>
      </c>
      <c r="H326" s="2">
        <v>15000</v>
      </c>
      <c r="I326" s="2">
        <v>10</v>
      </c>
      <c r="J326" s="2">
        <v>40500</v>
      </c>
      <c r="K326" s="2">
        <v>10000</v>
      </c>
      <c r="L326" s="2">
        <v>30000</v>
      </c>
      <c r="M326" s="2">
        <v>10500</v>
      </c>
      <c r="N326" s="2" t="s">
        <v>22</v>
      </c>
      <c r="O326" s="2" t="s">
        <v>66</v>
      </c>
      <c r="P326" s="2" t="s">
        <v>44</v>
      </c>
    </row>
    <row r="327" spans="1:16" x14ac:dyDescent="0.25">
      <c r="A327" s="3" t="s">
        <v>601</v>
      </c>
      <c r="B327" s="3" t="s">
        <v>602</v>
      </c>
      <c r="C327" s="3" t="s">
        <v>104</v>
      </c>
      <c r="D327" s="3" t="s">
        <v>74</v>
      </c>
      <c r="E327" s="3" t="s">
        <v>53</v>
      </c>
      <c r="F327" s="3" t="s">
        <v>54</v>
      </c>
      <c r="G327" s="3">
        <v>12</v>
      </c>
      <c r="H327" s="3">
        <v>2000</v>
      </c>
      <c r="I327" s="3">
        <v>5</v>
      </c>
      <c r="J327" s="3">
        <v>22800</v>
      </c>
      <c r="K327" s="3">
        <v>1200</v>
      </c>
      <c r="L327" s="3">
        <v>14400</v>
      </c>
      <c r="M327" s="3">
        <v>8400</v>
      </c>
      <c r="N327" s="3" t="s">
        <v>42</v>
      </c>
      <c r="O327" s="3" t="s">
        <v>43</v>
      </c>
      <c r="P327" s="3" t="s">
        <v>86</v>
      </c>
    </row>
    <row r="328" spans="1:16" x14ac:dyDescent="0.25">
      <c r="A328" s="2" t="s">
        <v>603</v>
      </c>
      <c r="B328" s="2" t="s">
        <v>604</v>
      </c>
      <c r="C328" s="2" t="s">
        <v>18</v>
      </c>
      <c r="D328" s="2" t="s">
        <v>64</v>
      </c>
      <c r="E328" s="2" t="s">
        <v>53</v>
      </c>
      <c r="F328" s="2" t="s">
        <v>82</v>
      </c>
      <c r="G328" s="2">
        <v>2</v>
      </c>
      <c r="H328" s="2">
        <v>4000</v>
      </c>
      <c r="I328" s="2">
        <v>0</v>
      </c>
      <c r="J328" s="2">
        <v>8000</v>
      </c>
      <c r="K328" s="2">
        <v>2500</v>
      </c>
      <c r="L328" s="2">
        <v>5000</v>
      </c>
      <c r="M328" s="2">
        <v>3000</v>
      </c>
      <c r="N328" s="2" t="s">
        <v>22</v>
      </c>
      <c r="O328" s="2" t="s">
        <v>43</v>
      </c>
      <c r="P328" s="2" t="s">
        <v>44</v>
      </c>
    </row>
    <row r="329" spans="1:16" x14ac:dyDescent="0.25">
      <c r="A329" s="3" t="s">
        <v>605</v>
      </c>
      <c r="B329" s="3" t="s">
        <v>556</v>
      </c>
      <c r="C329" s="3" t="s">
        <v>92</v>
      </c>
      <c r="D329" s="3" t="s">
        <v>40</v>
      </c>
      <c r="E329" s="3" t="s">
        <v>28</v>
      </c>
      <c r="F329" s="3" t="s">
        <v>127</v>
      </c>
      <c r="G329" s="3">
        <v>14</v>
      </c>
      <c r="H329" s="3">
        <v>15000</v>
      </c>
      <c r="I329" s="3">
        <v>5</v>
      </c>
      <c r="J329" s="3">
        <v>199500</v>
      </c>
      <c r="K329" s="3">
        <v>10000</v>
      </c>
      <c r="L329" s="3">
        <v>140000</v>
      </c>
      <c r="M329" s="3">
        <v>59500</v>
      </c>
      <c r="N329" s="3" t="s">
        <v>42</v>
      </c>
      <c r="O329" s="3" t="s">
        <v>36</v>
      </c>
      <c r="P329" s="3" t="s">
        <v>44</v>
      </c>
    </row>
    <row r="330" spans="1:16" x14ac:dyDescent="0.25">
      <c r="A330" s="2" t="s">
        <v>606</v>
      </c>
      <c r="B330" s="2" t="s">
        <v>497</v>
      </c>
      <c r="C330" s="2" t="s">
        <v>39</v>
      </c>
      <c r="D330" s="2" t="s">
        <v>159</v>
      </c>
      <c r="E330" s="2" t="s">
        <v>53</v>
      </c>
      <c r="F330" s="2" t="s">
        <v>85</v>
      </c>
      <c r="G330" s="2">
        <v>4</v>
      </c>
      <c r="H330" s="2">
        <v>1500</v>
      </c>
      <c r="I330" s="2">
        <v>20</v>
      </c>
      <c r="J330" s="2">
        <v>4800</v>
      </c>
      <c r="K330" s="2">
        <v>800</v>
      </c>
      <c r="L330" s="2">
        <v>3200</v>
      </c>
      <c r="M330" s="2">
        <v>1600</v>
      </c>
      <c r="N330" s="2" t="s">
        <v>22</v>
      </c>
      <c r="O330" s="2" t="s">
        <v>36</v>
      </c>
      <c r="P330" s="2" t="s">
        <v>44</v>
      </c>
    </row>
    <row r="331" spans="1:16" x14ac:dyDescent="0.25">
      <c r="A331" s="3" t="s">
        <v>607</v>
      </c>
      <c r="B331" s="3" t="s">
        <v>608</v>
      </c>
      <c r="C331" s="3" t="s">
        <v>104</v>
      </c>
      <c r="D331" s="3" t="s">
        <v>27</v>
      </c>
      <c r="E331" s="3" t="s">
        <v>28</v>
      </c>
      <c r="F331" s="3" t="s">
        <v>49</v>
      </c>
      <c r="G331" s="3">
        <v>10</v>
      </c>
      <c r="H331" s="3">
        <v>5000</v>
      </c>
      <c r="I331" s="3">
        <v>10</v>
      </c>
      <c r="J331" s="3">
        <v>45000</v>
      </c>
      <c r="K331" s="3">
        <v>3000</v>
      </c>
      <c r="L331" s="3">
        <v>30000</v>
      </c>
      <c r="M331" s="3">
        <v>15000</v>
      </c>
      <c r="N331" s="3" t="s">
        <v>42</v>
      </c>
      <c r="O331" s="3" t="s">
        <v>43</v>
      </c>
      <c r="P331" s="3" t="s">
        <v>44</v>
      </c>
    </row>
    <row r="332" spans="1:16" x14ac:dyDescent="0.25">
      <c r="A332" s="2" t="s">
        <v>609</v>
      </c>
      <c r="B332" s="2" t="s">
        <v>610</v>
      </c>
      <c r="C332" s="2" t="s">
        <v>100</v>
      </c>
      <c r="D332" s="2" t="s">
        <v>64</v>
      </c>
      <c r="E332" s="2" t="s">
        <v>20</v>
      </c>
      <c r="F332" s="2" t="s">
        <v>137</v>
      </c>
      <c r="G332" s="2">
        <v>10</v>
      </c>
      <c r="H332" s="2">
        <v>15000</v>
      </c>
      <c r="I332" s="2">
        <v>25</v>
      </c>
      <c r="J332" s="2">
        <v>112500</v>
      </c>
      <c r="K332" s="2">
        <v>10000</v>
      </c>
      <c r="L332" s="2">
        <v>100000</v>
      </c>
      <c r="M332" s="2">
        <v>12500</v>
      </c>
      <c r="N332" s="2" t="s">
        <v>22</v>
      </c>
      <c r="O332" s="2" t="s">
        <v>66</v>
      </c>
      <c r="P332" s="2" t="s">
        <v>44</v>
      </c>
    </row>
    <row r="333" spans="1:16" x14ac:dyDescent="0.25">
      <c r="A333" s="3" t="s">
        <v>611</v>
      </c>
      <c r="B333" s="3" t="s">
        <v>406</v>
      </c>
      <c r="C333" s="3" t="s">
        <v>33</v>
      </c>
      <c r="D333" s="3" t="s">
        <v>64</v>
      </c>
      <c r="E333" s="3" t="s">
        <v>34</v>
      </c>
      <c r="F333" s="3" t="s">
        <v>196</v>
      </c>
      <c r="G333" s="3">
        <v>14</v>
      </c>
      <c r="H333" s="3">
        <v>2500</v>
      </c>
      <c r="I333" s="3">
        <v>0</v>
      </c>
      <c r="J333" s="3">
        <v>35000</v>
      </c>
      <c r="K333" s="3">
        <v>1200</v>
      </c>
      <c r="L333" s="3">
        <v>16800</v>
      </c>
      <c r="M333" s="3">
        <v>18200</v>
      </c>
      <c r="N333" s="3" t="s">
        <v>22</v>
      </c>
      <c r="O333" s="3" t="s">
        <v>30</v>
      </c>
      <c r="P333" s="3" t="s">
        <v>44</v>
      </c>
    </row>
    <row r="334" spans="1:16" x14ac:dyDescent="0.25">
      <c r="A334" s="2" t="s">
        <v>612</v>
      </c>
      <c r="B334" s="2" t="s">
        <v>184</v>
      </c>
      <c r="C334" s="2" t="s">
        <v>104</v>
      </c>
      <c r="D334" s="2" t="s">
        <v>52</v>
      </c>
      <c r="E334" s="2" t="s">
        <v>28</v>
      </c>
      <c r="F334" s="2" t="s">
        <v>49</v>
      </c>
      <c r="G334" s="2">
        <v>10</v>
      </c>
      <c r="H334" s="2">
        <v>5000</v>
      </c>
      <c r="I334" s="2">
        <v>0</v>
      </c>
      <c r="J334" s="2">
        <v>50000</v>
      </c>
      <c r="K334" s="2">
        <v>3000</v>
      </c>
      <c r="L334" s="2">
        <v>30000</v>
      </c>
      <c r="M334" s="2">
        <v>20000</v>
      </c>
      <c r="N334" s="2" t="s">
        <v>22</v>
      </c>
      <c r="O334" s="2" t="s">
        <v>30</v>
      </c>
      <c r="P334" s="2" t="s">
        <v>56</v>
      </c>
    </row>
    <row r="335" spans="1:16" x14ac:dyDescent="0.25">
      <c r="A335" s="3" t="s">
        <v>613</v>
      </c>
      <c r="B335" s="3" t="s">
        <v>187</v>
      </c>
      <c r="C335" s="3" t="s">
        <v>122</v>
      </c>
      <c r="D335" s="3" t="s">
        <v>19</v>
      </c>
      <c r="E335" s="3" t="s">
        <v>34</v>
      </c>
      <c r="F335" s="3" t="s">
        <v>41</v>
      </c>
      <c r="G335" s="3">
        <v>3</v>
      </c>
      <c r="H335" s="3">
        <v>3000</v>
      </c>
      <c r="I335" s="3">
        <v>0</v>
      </c>
      <c r="J335" s="3">
        <v>9000</v>
      </c>
      <c r="K335" s="3">
        <v>1500</v>
      </c>
      <c r="L335" s="3">
        <v>4500</v>
      </c>
      <c r="M335" s="3">
        <v>4500</v>
      </c>
      <c r="N335" s="3" t="s">
        <v>22</v>
      </c>
      <c r="O335" s="3" t="s">
        <v>30</v>
      </c>
      <c r="P335" s="3" t="s">
        <v>44</v>
      </c>
    </row>
    <row r="336" spans="1:16" x14ac:dyDescent="0.25">
      <c r="A336" s="2" t="s">
        <v>614</v>
      </c>
      <c r="B336" s="2" t="s">
        <v>370</v>
      </c>
      <c r="C336" s="2" t="s">
        <v>122</v>
      </c>
      <c r="D336" s="2" t="s">
        <v>159</v>
      </c>
      <c r="E336" s="2" t="s">
        <v>53</v>
      </c>
      <c r="F336" s="2" t="s">
        <v>82</v>
      </c>
      <c r="G336" s="2">
        <v>17</v>
      </c>
      <c r="H336" s="2">
        <v>4000</v>
      </c>
      <c r="I336" s="2">
        <v>5</v>
      </c>
      <c r="J336" s="2">
        <v>64600</v>
      </c>
      <c r="K336" s="2">
        <v>2500</v>
      </c>
      <c r="L336" s="2">
        <v>42500</v>
      </c>
      <c r="M336" s="2">
        <v>22100</v>
      </c>
      <c r="N336" s="2" t="s">
        <v>42</v>
      </c>
      <c r="O336" s="2" t="s">
        <v>43</v>
      </c>
      <c r="P336" s="2" t="s">
        <v>44</v>
      </c>
    </row>
    <row r="337" spans="1:16" x14ac:dyDescent="0.25">
      <c r="A337" s="3" t="s">
        <v>615</v>
      </c>
      <c r="B337" s="3" t="s">
        <v>616</v>
      </c>
      <c r="C337" s="3" t="s">
        <v>77</v>
      </c>
      <c r="D337" s="3" t="s">
        <v>40</v>
      </c>
      <c r="E337" s="3" t="s">
        <v>34</v>
      </c>
      <c r="F337" s="3" t="s">
        <v>41</v>
      </c>
      <c r="G337" s="3">
        <v>9</v>
      </c>
      <c r="H337" s="3">
        <v>3000</v>
      </c>
      <c r="I337" s="3">
        <v>10</v>
      </c>
      <c r="J337" s="3">
        <v>24300</v>
      </c>
      <c r="K337" s="3">
        <v>1500</v>
      </c>
      <c r="L337" s="3">
        <v>13500</v>
      </c>
      <c r="M337" s="3">
        <v>10800</v>
      </c>
      <c r="N337" s="3" t="s">
        <v>42</v>
      </c>
      <c r="O337" s="3" t="s">
        <v>23</v>
      </c>
      <c r="P337" s="3" t="s">
        <v>86</v>
      </c>
    </row>
    <row r="338" spans="1:16" x14ac:dyDescent="0.25">
      <c r="A338" s="2" t="s">
        <v>617</v>
      </c>
      <c r="B338" s="2" t="s">
        <v>618</v>
      </c>
      <c r="C338" s="2" t="s">
        <v>100</v>
      </c>
      <c r="D338" s="2" t="s">
        <v>74</v>
      </c>
      <c r="E338" s="2" t="s">
        <v>20</v>
      </c>
      <c r="F338" s="2" t="s">
        <v>21</v>
      </c>
      <c r="G338" s="2">
        <v>3</v>
      </c>
      <c r="H338" s="2">
        <v>3500</v>
      </c>
      <c r="I338" s="2">
        <v>5</v>
      </c>
      <c r="J338" s="2">
        <v>9975</v>
      </c>
      <c r="K338" s="2">
        <v>2000</v>
      </c>
      <c r="L338" s="2">
        <v>6000</v>
      </c>
      <c r="M338" s="2">
        <v>3975</v>
      </c>
      <c r="N338" s="2" t="s">
        <v>22</v>
      </c>
      <c r="O338" s="2" t="s">
        <v>30</v>
      </c>
      <c r="P338" s="2" t="s">
        <v>44</v>
      </c>
    </row>
    <row r="339" spans="1:16" x14ac:dyDescent="0.25">
      <c r="A339" s="3" t="s">
        <v>619</v>
      </c>
      <c r="B339" s="3" t="s">
        <v>175</v>
      </c>
      <c r="C339" s="3" t="s">
        <v>92</v>
      </c>
      <c r="D339" s="3" t="s">
        <v>74</v>
      </c>
      <c r="E339" s="3" t="s">
        <v>93</v>
      </c>
      <c r="F339" s="3" t="s">
        <v>98</v>
      </c>
      <c r="G339" s="3">
        <v>14</v>
      </c>
      <c r="H339" s="3">
        <v>400</v>
      </c>
      <c r="I339" s="3">
        <v>0</v>
      </c>
      <c r="J339" s="3">
        <v>5600</v>
      </c>
      <c r="K339" s="3">
        <v>280</v>
      </c>
      <c r="L339" s="3">
        <v>3920</v>
      </c>
      <c r="M339" s="3">
        <v>1680</v>
      </c>
      <c r="N339" s="3" t="s">
        <v>42</v>
      </c>
      <c r="O339" s="3" t="s">
        <v>36</v>
      </c>
      <c r="P339" s="3" t="s">
        <v>44</v>
      </c>
    </row>
    <row r="340" spans="1:16" x14ac:dyDescent="0.25">
      <c r="A340" s="2" t="s">
        <v>620</v>
      </c>
      <c r="B340" s="2" t="s">
        <v>177</v>
      </c>
      <c r="C340" s="2" t="s">
        <v>39</v>
      </c>
      <c r="D340" s="2" t="s">
        <v>159</v>
      </c>
      <c r="E340" s="2" t="s">
        <v>28</v>
      </c>
      <c r="F340" s="2" t="s">
        <v>116</v>
      </c>
      <c r="G340" s="2">
        <v>10</v>
      </c>
      <c r="H340" s="2">
        <v>85000</v>
      </c>
      <c r="I340" s="2">
        <v>25</v>
      </c>
      <c r="J340" s="2">
        <v>637500</v>
      </c>
      <c r="K340" s="2">
        <v>65000</v>
      </c>
      <c r="L340" s="2">
        <v>650000</v>
      </c>
      <c r="M340" s="2">
        <v>-12500</v>
      </c>
      <c r="N340" s="2" t="s">
        <v>22</v>
      </c>
      <c r="O340" s="2" t="s">
        <v>36</v>
      </c>
      <c r="P340" s="2" t="s">
        <v>86</v>
      </c>
    </row>
    <row r="341" spans="1:16" x14ac:dyDescent="0.25">
      <c r="A341" s="3" t="s">
        <v>621</v>
      </c>
      <c r="B341" s="3" t="s">
        <v>618</v>
      </c>
      <c r="C341" s="3" t="s">
        <v>92</v>
      </c>
      <c r="D341" s="3" t="s">
        <v>159</v>
      </c>
      <c r="E341" s="3" t="s">
        <v>34</v>
      </c>
      <c r="F341" s="3" t="s">
        <v>41</v>
      </c>
      <c r="G341" s="3">
        <v>13</v>
      </c>
      <c r="H341" s="3">
        <v>3000</v>
      </c>
      <c r="I341" s="3">
        <v>20</v>
      </c>
      <c r="J341" s="3">
        <v>31200</v>
      </c>
      <c r="K341" s="3">
        <v>1500</v>
      </c>
      <c r="L341" s="3">
        <v>19500</v>
      </c>
      <c r="M341" s="3">
        <v>11700</v>
      </c>
      <c r="N341" s="3" t="s">
        <v>22</v>
      </c>
      <c r="O341" s="3" t="s">
        <v>23</v>
      </c>
      <c r="P341" s="3" t="s">
        <v>44</v>
      </c>
    </row>
    <row r="342" spans="1:16" x14ac:dyDescent="0.25">
      <c r="A342" s="2" t="s">
        <v>622</v>
      </c>
      <c r="B342" s="2" t="s">
        <v>623</v>
      </c>
      <c r="C342" s="2" t="s">
        <v>104</v>
      </c>
      <c r="D342" s="2" t="s">
        <v>27</v>
      </c>
      <c r="E342" s="2" t="s">
        <v>93</v>
      </c>
      <c r="F342" s="2" t="s">
        <v>94</v>
      </c>
      <c r="G342" s="2">
        <v>18</v>
      </c>
      <c r="H342" s="2">
        <v>1200</v>
      </c>
      <c r="I342" s="2">
        <v>5</v>
      </c>
      <c r="J342" s="2">
        <v>20520</v>
      </c>
      <c r="K342" s="2">
        <v>900</v>
      </c>
      <c r="L342" s="2">
        <v>16200</v>
      </c>
      <c r="M342" s="2">
        <v>4320</v>
      </c>
      <c r="N342" s="2" t="s">
        <v>22</v>
      </c>
      <c r="O342" s="2" t="s">
        <v>66</v>
      </c>
      <c r="P342" s="2" t="s">
        <v>44</v>
      </c>
    </row>
    <row r="343" spans="1:16" x14ac:dyDescent="0.25">
      <c r="A343" s="3" t="s">
        <v>624</v>
      </c>
      <c r="B343" s="3" t="s">
        <v>113</v>
      </c>
      <c r="C343" s="3" t="s">
        <v>18</v>
      </c>
      <c r="D343" s="3" t="s">
        <v>19</v>
      </c>
      <c r="E343" s="3" t="s">
        <v>28</v>
      </c>
      <c r="F343" s="3" t="s">
        <v>116</v>
      </c>
      <c r="G343" s="3">
        <v>5</v>
      </c>
      <c r="H343" s="3">
        <v>85000</v>
      </c>
      <c r="I343" s="3">
        <v>5</v>
      </c>
      <c r="J343" s="3">
        <v>403750</v>
      </c>
      <c r="K343" s="3">
        <v>65000</v>
      </c>
      <c r="L343" s="3">
        <v>325000</v>
      </c>
      <c r="M343" s="3">
        <v>78750</v>
      </c>
      <c r="N343" s="3" t="s">
        <v>42</v>
      </c>
      <c r="O343" s="3" t="s">
        <v>55</v>
      </c>
      <c r="P343" s="3" t="s">
        <v>24</v>
      </c>
    </row>
    <row r="344" spans="1:16" x14ac:dyDescent="0.25">
      <c r="A344" s="2" t="s">
        <v>625</v>
      </c>
      <c r="B344" s="2" t="s">
        <v>111</v>
      </c>
      <c r="C344" s="2" t="s">
        <v>18</v>
      </c>
      <c r="D344" s="2" t="s">
        <v>48</v>
      </c>
      <c r="E344" s="2" t="s">
        <v>28</v>
      </c>
      <c r="F344" s="2" t="s">
        <v>29</v>
      </c>
      <c r="G344" s="2">
        <v>3</v>
      </c>
      <c r="H344" s="2">
        <v>25000</v>
      </c>
      <c r="I344" s="2">
        <v>5</v>
      </c>
      <c r="J344" s="2">
        <v>71250</v>
      </c>
      <c r="K344" s="2">
        <v>18000</v>
      </c>
      <c r="L344" s="2">
        <v>54000</v>
      </c>
      <c r="M344" s="2">
        <v>17250</v>
      </c>
      <c r="N344" s="2" t="s">
        <v>42</v>
      </c>
      <c r="O344" s="2" t="s">
        <v>36</v>
      </c>
      <c r="P344" s="2" t="s">
        <v>44</v>
      </c>
    </row>
    <row r="345" spans="1:16" x14ac:dyDescent="0.25">
      <c r="A345" s="3" t="s">
        <v>626</v>
      </c>
      <c r="B345" s="3" t="s">
        <v>627</v>
      </c>
      <c r="C345" s="3" t="s">
        <v>18</v>
      </c>
      <c r="D345" s="3" t="s">
        <v>19</v>
      </c>
      <c r="E345" s="3" t="s">
        <v>93</v>
      </c>
      <c r="F345" s="3" t="s">
        <v>119</v>
      </c>
      <c r="G345" s="3">
        <v>6</v>
      </c>
      <c r="H345" s="3">
        <v>800</v>
      </c>
      <c r="I345" s="3">
        <v>20</v>
      </c>
      <c r="J345" s="3">
        <v>3840</v>
      </c>
      <c r="K345" s="3">
        <v>600</v>
      </c>
      <c r="L345" s="3">
        <v>3600</v>
      </c>
      <c r="M345" s="3">
        <v>240</v>
      </c>
      <c r="N345" s="3" t="s">
        <v>42</v>
      </c>
      <c r="O345" s="3" t="s">
        <v>23</v>
      </c>
      <c r="P345" s="3" t="s">
        <v>44</v>
      </c>
    </row>
    <row r="346" spans="1:16" x14ac:dyDescent="0.25">
      <c r="A346" s="2" t="s">
        <v>628</v>
      </c>
      <c r="B346" s="2" t="s">
        <v>600</v>
      </c>
      <c r="C346" s="2" t="s">
        <v>77</v>
      </c>
      <c r="D346" s="2" t="s">
        <v>27</v>
      </c>
      <c r="E346" s="2" t="s">
        <v>34</v>
      </c>
      <c r="F346" s="2" t="s">
        <v>41</v>
      </c>
      <c r="G346" s="2">
        <v>7</v>
      </c>
      <c r="H346" s="2">
        <v>3000</v>
      </c>
      <c r="I346" s="2">
        <v>5</v>
      </c>
      <c r="J346" s="2">
        <v>19950</v>
      </c>
      <c r="K346" s="2">
        <v>1500</v>
      </c>
      <c r="L346" s="2">
        <v>10500</v>
      </c>
      <c r="M346" s="2">
        <v>9450</v>
      </c>
      <c r="N346" s="2" t="s">
        <v>42</v>
      </c>
      <c r="O346" s="2" t="s">
        <v>55</v>
      </c>
      <c r="P346" s="2" t="s">
        <v>44</v>
      </c>
    </row>
    <row r="347" spans="1:16" x14ac:dyDescent="0.25">
      <c r="A347" s="3" t="s">
        <v>629</v>
      </c>
      <c r="B347" s="3" t="s">
        <v>630</v>
      </c>
      <c r="C347" s="3" t="s">
        <v>104</v>
      </c>
      <c r="D347" s="3" t="s">
        <v>64</v>
      </c>
      <c r="E347" s="3" t="s">
        <v>20</v>
      </c>
      <c r="F347" s="3" t="s">
        <v>59</v>
      </c>
      <c r="G347" s="3">
        <v>14</v>
      </c>
      <c r="H347" s="3">
        <v>12000</v>
      </c>
      <c r="I347" s="3">
        <v>20</v>
      </c>
      <c r="J347" s="3">
        <v>134400</v>
      </c>
      <c r="K347" s="3">
        <v>8000</v>
      </c>
      <c r="L347" s="3">
        <v>112000</v>
      </c>
      <c r="M347" s="3">
        <v>22400</v>
      </c>
      <c r="N347" s="3" t="s">
        <v>42</v>
      </c>
      <c r="O347" s="3" t="s">
        <v>43</v>
      </c>
      <c r="P347" s="3" t="s">
        <v>44</v>
      </c>
    </row>
    <row r="348" spans="1:16" x14ac:dyDescent="0.25">
      <c r="A348" s="2" t="s">
        <v>631</v>
      </c>
      <c r="B348" s="2" t="s">
        <v>556</v>
      </c>
      <c r="C348" s="2" t="s">
        <v>92</v>
      </c>
      <c r="D348" s="2" t="s">
        <v>27</v>
      </c>
      <c r="E348" s="2" t="s">
        <v>34</v>
      </c>
      <c r="F348" s="2" t="s">
        <v>89</v>
      </c>
      <c r="G348" s="2">
        <v>8</v>
      </c>
      <c r="H348" s="2">
        <v>4500</v>
      </c>
      <c r="I348" s="2">
        <v>25</v>
      </c>
      <c r="J348" s="2">
        <v>27000</v>
      </c>
      <c r="K348" s="2">
        <v>2500</v>
      </c>
      <c r="L348" s="2">
        <v>20000</v>
      </c>
      <c r="M348" s="2">
        <v>7000</v>
      </c>
      <c r="N348" s="2" t="s">
        <v>22</v>
      </c>
      <c r="O348" s="2" t="s">
        <v>66</v>
      </c>
      <c r="P348" s="2" t="s">
        <v>86</v>
      </c>
    </row>
    <row r="349" spans="1:16" x14ac:dyDescent="0.25">
      <c r="A349" s="3" t="s">
        <v>632</v>
      </c>
      <c r="B349" s="3" t="s">
        <v>282</v>
      </c>
      <c r="C349" s="3" t="s">
        <v>122</v>
      </c>
      <c r="D349" s="3" t="s">
        <v>74</v>
      </c>
      <c r="E349" s="3" t="s">
        <v>20</v>
      </c>
      <c r="F349" s="3" t="s">
        <v>137</v>
      </c>
      <c r="G349" s="3">
        <v>17</v>
      </c>
      <c r="H349" s="3">
        <v>15000</v>
      </c>
      <c r="I349" s="3">
        <v>10</v>
      </c>
      <c r="J349" s="3">
        <v>229500</v>
      </c>
      <c r="K349" s="3">
        <v>10000</v>
      </c>
      <c r="L349" s="3">
        <v>170000</v>
      </c>
      <c r="M349" s="3">
        <v>59500</v>
      </c>
      <c r="N349" s="3" t="s">
        <v>42</v>
      </c>
      <c r="O349" s="3" t="s">
        <v>55</v>
      </c>
      <c r="P349" s="3" t="s">
        <v>44</v>
      </c>
    </row>
    <row r="350" spans="1:16" x14ac:dyDescent="0.25">
      <c r="A350" s="2" t="s">
        <v>633</v>
      </c>
      <c r="B350" s="2" t="s">
        <v>497</v>
      </c>
      <c r="C350" s="2" t="s">
        <v>47</v>
      </c>
      <c r="D350" s="2" t="s">
        <v>64</v>
      </c>
      <c r="E350" s="2" t="s">
        <v>28</v>
      </c>
      <c r="F350" s="2" t="s">
        <v>274</v>
      </c>
      <c r="G350" s="2">
        <v>2</v>
      </c>
      <c r="H350" s="2">
        <v>35000</v>
      </c>
      <c r="I350" s="2">
        <v>15</v>
      </c>
      <c r="J350" s="2">
        <v>59500</v>
      </c>
      <c r="K350" s="2">
        <v>26000</v>
      </c>
      <c r="L350" s="2">
        <v>52000</v>
      </c>
      <c r="M350" s="2">
        <v>7500</v>
      </c>
      <c r="N350" s="2" t="s">
        <v>42</v>
      </c>
      <c r="O350" s="2" t="s">
        <v>30</v>
      </c>
      <c r="P350" s="2" t="s">
        <v>56</v>
      </c>
    </row>
    <row r="351" spans="1:16" x14ac:dyDescent="0.25">
      <c r="A351" s="3" t="s">
        <v>634</v>
      </c>
      <c r="B351" s="3" t="s">
        <v>635</v>
      </c>
      <c r="C351" s="3" t="s">
        <v>18</v>
      </c>
      <c r="D351" s="3" t="s">
        <v>64</v>
      </c>
      <c r="E351" s="3" t="s">
        <v>34</v>
      </c>
      <c r="F351" s="3" t="s">
        <v>41</v>
      </c>
      <c r="G351" s="3">
        <v>18</v>
      </c>
      <c r="H351" s="3">
        <v>3000</v>
      </c>
      <c r="I351" s="3">
        <v>25</v>
      </c>
      <c r="J351" s="3">
        <v>40500</v>
      </c>
      <c r="K351" s="3">
        <v>1500</v>
      </c>
      <c r="L351" s="3">
        <v>27000</v>
      </c>
      <c r="M351" s="3">
        <v>13500</v>
      </c>
      <c r="N351" s="3" t="s">
        <v>22</v>
      </c>
      <c r="O351" s="3" t="s">
        <v>36</v>
      </c>
      <c r="P351" s="3" t="s">
        <v>44</v>
      </c>
    </row>
    <row r="352" spans="1:16" x14ac:dyDescent="0.25">
      <c r="A352" s="2" t="s">
        <v>636</v>
      </c>
      <c r="B352" s="2" t="s">
        <v>637</v>
      </c>
      <c r="C352" s="2" t="s">
        <v>100</v>
      </c>
      <c r="D352" s="2" t="s">
        <v>40</v>
      </c>
      <c r="E352" s="2" t="s">
        <v>34</v>
      </c>
      <c r="F352" s="2" t="s">
        <v>146</v>
      </c>
      <c r="G352" s="2">
        <v>19</v>
      </c>
      <c r="H352" s="2">
        <v>3500</v>
      </c>
      <c r="I352" s="2">
        <v>10</v>
      </c>
      <c r="J352" s="2">
        <v>59850</v>
      </c>
      <c r="K352" s="2">
        <v>1800</v>
      </c>
      <c r="L352" s="2">
        <v>34200</v>
      </c>
      <c r="M352" s="2">
        <v>25650</v>
      </c>
      <c r="N352" s="2" t="s">
        <v>42</v>
      </c>
      <c r="O352" s="2" t="s">
        <v>30</v>
      </c>
      <c r="P352" s="2" t="s">
        <v>44</v>
      </c>
    </row>
    <row r="353" spans="1:16" x14ac:dyDescent="0.25">
      <c r="A353" s="3" t="s">
        <v>638</v>
      </c>
      <c r="B353" s="3" t="s">
        <v>474</v>
      </c>
      <c r="C353" s="3" t="s">
        <v>100</v>
      </c>
      <c r="D353" s="3" t="s">
        <v>40</v>
      </c>
      <c r="E353" s="3" t="s">
        <v>53</v>
      </c>
      <c r="F353" s="3" t="s">
        <v>54</v>
      </c>
      <c r="G353" s="3">
        <v>16</v>
      </c>
      <c r="H353" s="3">
        <v>2000</v>
      </c>
      <c r="I353" s="3">
        <v>20</v>
      </c>
      <c r="J353" s="3">
        <v>25600</v>
      </c>
      <c r="K353" s="3">
        <v>1200</v>
      </c>
      <c r="L353" s="3">
        <v>19200</v>
      </c>
      <c r="M353" s="3">
        <v>6400</v>
      </c>
      <c r="N353" s="3" t="s">
        <v>42</v>
      </c>
      <c r="O353" s="3" t="s">
        <v>36</v>
      </c>
      <c r="P353" s="3" t="s">
        <v>44</v>
      </c>
    </row>
    <row r="354" spans="1:16" x14ac:dyDescent="0.25">
      <c r="A354" s="2" t="s">
        <v>639</v>
      </c>
      <c r="B354" s="2" t="s">
        <v>640</v>
      </c>
      <c r="C354" s="2" t="s">
        <v>104</v>
      </c>
      <c r="D354" s="2" t="s">
        <v>64</v>
      </c>
      <c r="E354" s="2" t="s">
        <v>53</v>
      </c>
      <c r="F354" s="2" t="s">
        <v>54</v>
      </c>
      <c r="G354" s="2">
        <v>1</v>
      </c>
      <c r="H354" s="2">
        <v>2000</v>
      </c>
      <c r="I354" s="2">
        <v>20</v>
      </c>
      <c r="J354" s="2">
        <v>1600</v>
      </c>
      <c r="K354" s="2">
        <v>1200</v>
      </c>
      <c r="L354" s="2">
        <v>1200</v>
      </c>
      <c r="M354" s="2">
        <v>400</v>
      </c>
      <c r="N354" s="2" t="s">
        <v>42</v>
      </c>
      <c r="O354" s="2" t="s">
        <v>43</v>
      </c>
      <c r="P354" s="2" t="s">
        <v>44</v>
      </c>
    </row>
    <row r="355" spans="1:16" x14ac:dyDescent="0.25">
      <c r="A355" s="3" t="s">
        <v>641</v>
      </c>
      <c r="B355" s="3" t="s">
        <v>308</v>
      </c>
      <c r="C355" s="3" t="s">
        <v>33</v>
      </c>
      <c r="D355" s="3" t="s">
        <v>40</v>
      </c>
      <c r="E355" s="3" t="s">
        <v>20</v>
      </c>
      <c r="F355" s="3" t="s">
        <v>21</v>
      </c>
      <c r="G355" s="3">
        <v>11</v>
      </c>
      <c r="H355" s="3">
        <v>3500</v>
      </c>
      <c r="I355" s="3">
        <v>0</v>
      </c>
      <c r="J355" s="3">
        <v>38500</v>
      </c>
      <c r="K355" s="3">
        <v>2000</v>
      </c>
      <c r="L355" s="3">
        <v>22000</v>
      </c>
      <c r="M355" s="3">
        <v>16500</v>
      </c>
      <c r="N355" s="3" t="s">
        <v>22</v>
      </c>
      <c r="O355" s="3" t="s">
        <v>36</v>
      </c>
      <c r="P355" s="3" t="s">
        <v>44</v>
      </c>
    </row>
    <row r="356" spans="1:16" x14ac:dyDescent="0.25">
      <c r="A356" s="2" t="s">
        <v>642</v>
      </c>
      <c r="B356" s="2" t="s">
        <v>643</v>
      </c>
      <c r="C356" s="2" t="s">
        <v>18</v>
      </c>
      <c r="D356" s="2" t="s">
        <v>52</v>
      </c>
      <c r="E356" s="2" t="s">
        <v>28</v>
      </c>
      <c r="F356" s="2" t="s">
        <v>274</v>
      </c>
      <c r="G356" s="2">
        <v>13</v>
      </c>
      <c r="H356" s="2">
        <v>35000</v>
      </c>
      <c r="I356" s="2">
        <v>20</v>
      </c>
      <c r="J356" s="2">
        <v>364000</v>
      </c>
      <c r="K356" s="2">
        <v>26000</v>
      </c>
      <c r="L356" s="2">
        <v>338000</v>
      </c>
      <c r="M356" s="2">
        <v>26000</v>
      </c>
      <c r="N356" s="2" t="s">
        <v>22</v>
      </c>
      <c r="O356" s="2" t="s">
        <v>55</v>
      </c>
      <c r="P356" s="2" t="s">
        <v>44</v>
      </c>
    </row>
    <row r="357" spans="1:16" x14ac:dyDescent="0.25">
      <c r="A357" s="3" t="s">
        <v>644</v>
      </c>
      <c r="B357" s="3" t="s">
        <v>645</v>
      </c>
      <c r="C357" s="3" t="s">
        <v>92</v>
      </c>
      <c r="D357" s="3" t="s">
        <v>27</v>
      </c>
      <c r="E357" s="3" t="s">
        <v>93</v>
      </c>
      <c r="F357" s="3" t="s">
        <v>98</v>
      </c>
      <c r="G357" s="3">
        <v>6</v>
      </c>
      <c r="H357" s="3">
        <v>400</v>
      </c>
      <c r="I357" s="3">
        <v>25</v>
      </c>
      <c r="J357" s="3">
        <v>1800</v>
      </c>
      <c r="K357" s="3">
        <v>280</v>
      </c>
      <c r="L357" s="3">
        <v>1680</v>
      </c>
      <c r="M357" s="3">
        <v>120</v>
      </c>
      <c r="N357" s="3" t="s">
        <v>42</v>
      </c>
      <c r="O357" s="3" t="s">
        <v>36</v>
      </c>
      <c r="P357" s="3" t="s">
        <v>24</v>
      </c>
    </row>
    <row r="358" spans="1:16" x14ac:dyDescent="0.25">
      <c r="A358" s="2" t="s">
        <v>646</v>
      </c>
      <c r="B358" s="2" t="s">
        <v>623</v>
      </c>
      <c r="C358" s="2" t="s">
        <v>77</v>
      </c>
      <c r="D358" s="2" t="s">
        <v>48</v>
      </c>
      <c r="E358" s="2" t="s">
        <v>20</v>
      </c>
      <c r="F358" s="2" t="s">
        <v>21</v>
      </c>
      <c r="G358" s="2">
        <v>6</v>
      </c>
      <c r="H358" s="2">
        <v>3500</v>
      </c>
      <c r="I358" s="2">
        <v>25</v>
      </c>
      <c r="J358" s="2">
        <v>15750</v>
      </c>
      <c r="K358" s="2">
        <v>2000</v>
      </c>
      <c r="L358" s="2">
        <v>12000</v>
      </c>
      <c r="M358" s="2">
        <v>3750</v>
      </c>
      <c r="N358" s="2" t="s">
        <v>22</v>
      </c>
      <c r="O358" s="2" t="s">
        <v>23</v>
      </c>
      <c r="P358" s="2" t="s">
        <v>95</v>
      </c>
    </row>
    <row r="359" spans="1:16" x14ac:dyDescent="0.25">
      <c r="A359" s="3" t="s">
        <v>647</v>
      </c>
      <c r="B359" s="3" t="s">
        <v>596</v>
      </c>
      <c r="C359" s="3" t="s">
        <v>47</v>
      </c>
      <c r="D359" s="3" t="s">
        <v>19</v>
      </c>
      <c r="E359" s="3" t="s">
        <v>34</v>
      </c>
      <c r="F359" s="3" t="s">
        <v>89</v>
      </c>
      <c r="G359" s="3">
        <v>11</v>
      </c>
      <c r="H359" s="3">
        <v>4500</v>
      </c>
      <c r="I359" s="3">
        <v>20</v>
      </c>
      <c r="J359" s="3">
        <v>39600</v>
      </c>
      <c r="K359" s="3">
        <v>2500</v>
      </c>
      <c r="L359" s="3">
        <v>27500</v>
      </c>
      <c r="M359" s="3">
        <v>12100</v>
      </c>
      <c r="N359" s="3" t="s">
        <v>22</v>
      </c>
      <c r="O359" s="3" t="s">
        <v>23</v>
      </c>
      <c r="P359" s="3" t="s">
        <v>44</v>
      </c>
    </row>
    <row r="360" spans="1:16" x14ac:dyDescent="0.25">
      <c r="A360" s="2" t="s">
        <v>648</v>
      </c>
      <c r="B360" s="2" t="s">
        <v>277</v>
      </c>
      <c r="C360" s="2" t="s">
        <v>92</v>
      </c>
      <c r="D360" s="2" t="s">
        <v>52</v>
      </c>
      <c r="E360" s="2" t="s">
        <v>28</v>
      </c>
      <c r="F360" s="2" t="s">
        <v>116</v>
      </c>
      <c r="G360" s="2">
        <v>12</v>
      </c>
      <c r="H360" s="2">
        <v>85000</v>
      </c>
      <c r="I360" s="2">
        <v>10</v>
      </c>
      <c r="J360" s="2">
        <v>918000</v>
      </c>
      <c r="K360" s="2">
        <v>65000</v>
      </c>
      <c r="L360" s="2">
        <v>780000</v>
      </c>
      <c r="M360" s="2">
        <v>138000</v>
      </c>
      <c r="N360" s="2" t="s">
        <v>22</v>
      </c>
      <c r="O360" s="2" t="s">
        <v>23</v>
      </c>
      <c r="P360" s="2" t="s">
        <v>86</v>
      </c>
    </row>
    <row r="361" spans="1:16" x14ac:dyDescent="0.25">
      <c r="A361" s="3" t="s">
        <v>649</v>
      </c>
      <c r="B361" s="3" t="s">
        <v>650</v>
      </c>
      <c r="C361" s="3" t="s">
        <v>100</v>
      </c>
      <c r="D361" s="3" t="s">
        <v>74</v>
      </c>
      <c r="E361" s="3" t="s">
        <v>28</v>
      </c>
      <c r="F361" s="3" t="s">
        <v>274</v>
      </c>
      <c r="G361" s="3">
        <v>7</v>
      </c>
      <c r="H361" s="3">
        <v>35000</v>
      </c>
      <c r="I361" s="3">
        <v>5</v>
      </c>
      <c r="J361" s="3">
        <v>232750</v>
      </c>
      <c r="K361" s="3">
        <v>26000</v>
      </c>
      <c r="L361" s="3">
        <v>182000</v>
      </c>
      <c r="M361" s="3">
        <v>50750</v>
      </c>
      <c r="N361" s="3" t="s">
        <v>22</v>
      </c>
      <c r="O361" s="3" t="s">
        <v>55</v>
      </c>
      <c r="P361" s="3" t="s">
        <v>44</v>
      </c>
    </row>
    <row r="362" spans="1:16" x14ac:dyDescent="0.25">
      <c r="A362" s="2" t="s">
        <v>651</v>
      </c>
      <c r="B362" s="2" t="s">
        <v>429</v>
      </c>
      <c r="C362" s="2" t="s">
        <v>104</v>
      </c>
      <c r="D362" s="2" t="s">
        <v>19</v>
      </c>
      <c r="E362" s="2" t="s">
        <v>93</v>
      </c>
      <c r="F362" s="2" t="s">
        <v>109</v>
      </c>
      <c r="G362" s="2">
        <v>14</v>
      </c>
      <c r="H362" s="2">
        <v>700</v>
      </c>
      <c r="I362" s="2">
        <v>5</v>
      </c>
      <c r="J362" s="2">
        <v>9310</v>
      </c>
      <c r="K362" s="2">
        <v>500</v>
      </c>
      <c r="L362" s="2">
        <v>7000</v>
      </c>
      <c r="M362" s="2">
        <v>2310</v>
      </c>
      <c r="N362" s="2" t="s">
        <v>42</v>
      </c>
      <c r="O362" s="2" t="s">
        <v>66</v>
      </c>
      <c r="P362" s="2" t="s">
        <v>86</v>
      </c>
    </row>
    <row r="363" spans="1:16" x14ac:dyDescent="0.25">
      <c r="A363" s="3" t="s">
        <v>652</v>
      </c>
      <c r="B363" s="3" t="s">
        <v>357</v>
      </c>
      <c r="C363" s="3" t="s">
        <v>63</v>
      </c>
      <c r="D363" s="3" t="s">
        <v>27</v>
      </c>
      <c r="E363" s="3" t="s">
        <v>28</v>
      </c>
      <c r="F363" s="3" t="s">
        <v>49</v>
      </c>
      <c r="G363" s="3">
        <v>19</v>
      </c>
      <c r="H363" s="3">
        <v>5000</v>
      </c>
      <c r="I363" s="3">
        <v>25</v>
      </c>
      <c r="J363" s="3">
        <v>71250</v>
      </c>
      <c r="K363" s="3">
        <v>3000</v>
      </c>
      <c r="L363" s="3">
        <v>57000</v>
      </c>
      <c r="M363" s="3">
        <v>14250</v>
      </c>
      <c r="N363" s="3" t="s">
        <v>22</v>
      </c>
      <c r="O363" s="3" t="s">
        <v>36</v>
      </c>
      <c r="P363" s="3" t="s">
        <v>44</v>
      </c>
    </row>
    <row r="364" spans="1:16" x14ac:dyDescent="0.25">
      <c r="A364" s="2" t="s">
        <v>653</v>
      </c>
      <c r="B364" s="2" t="s">
        <v>654</v>
      </c>
      <c r="C364" s="2" t="s">
        <v>39</v>
      </c>
      <c r="D364" s="2" t="s">
        <v>19</v>
      </c>
      <c r="E364" s="2" t="s">
        <v>20</v>
      </c>
      <c r="F364" s="2" t="s">
        <v>182</v>
      </c>
      <c r="G364" s="2">
        <v>4</v>
      </c>
      <c r="H364" s="2">
        <v>5000</v>
      </c>
      <c r="I364" s="2">
        <v>0</v>
      </c>
      <c r="J364" s="2">
        <v>20000</v>
      </c>
      <c r="K364" s="2">
        <v>3000</v>
      </c>
      <c r="L364" s="2">
        <v>12000</v>
      </c>
      <c r="M364" s="2">
        <v>8000</v>
      </c>
      <c r="N364" s="2" t="s">
        <v>42</v>
      </c>
      <c r="O364" s="2" t="s">
        <v>36</v>
      </c>
      <c r="P364" s="2" t="s">
        <v>86</v>
      </c>
    </row>
    <row r="365" spans="1:16" x14ac:dyDescent="0.25">
      <c r="A365" s="3" t="s">
        <v>655</v>
      </c>
      <c r="B365" s="3" t="s">
        <v>84</v>
      </c>
      <c r="C365" s="3" t="s">
        <v>18</v>
      </c>
      <c r="D365" s="3" t="s">
        <v>159</v>
      </c>
      <c r="E365" s="3" t="s">
        <v>20</v>
      </c>
      <c r="F365" s="3" t="s">
        <v>137</v>
      </c>
      <c r="G365" s="3">
        <v>20</v>
      </c>
      <c r="H365" s="3">
        <v>15000</v>
      </c>
      <c r="I365" s="3">
        <v>15</v>
      </c>
      <c r="J365" s="3">
        <v>255000</v>
      </c>
      <c r="K365" s="3">
        <v>10000</v>
      </c>
      <c r="L365" s="3">
        <v>200000</v>
      </c>
      <c r="M365" s="3">
        <v>55000</v>
      </c>
      <c r="N365" s="3" t="s">
        <v>22</v>
      </c>
      <c r="O365" s="3" t="s">
        <v>66</v>
      </c>
      <c r="P365" s="3" t="s">
        <v>95</v>
      </c>
    </row>
    <row r="366" spans="1:16" x14ac:dyDescent="0.25">
      <c r="A366" s="2" t="s">
        <v>656</v>
      </c>
      <c r="B366" s="2" t="s">
        <v>470</v>
      </c>
      <c r="C366" s="2" t="s">
        <v>47</v>
      </c>
      <c r="D366" s="2" t="s">
        <v>27</v>
      </c>
      <c r="E366" s="2" t="s">
        <v>34</v>
      </c>
      <c r="F366" s="2" t="s">
        <v>196</v>
      </c>
      <c r="G366" s="2">
        <v>4</v>
      </c>
      <c r="H366" s="2">
        <v>2500</v>
      </c>
      <c r="I366" s="2">
        <v>10</v>
      </c>
      <c r="J366" s="2">
        <v>9000</v>
      </c>
      <c r="K366" s="2">
        <v>1200</v>
      </c>
      <c r="L366" s="2">
        <v>4800</v>
      </c>
      <c r="M366" s="2">
        <v>4200</v>
      </c>
      <c r="N366" s="2" t="s">
        <v>22</v>
      </c>
      <c r="O366" s="2" t="s">
        <v>36</v>
      </c>
      <c r="P366" s="2" t="s">
        <v>44</v>
      </c>
    </row>
    <row r="367" spans="1:16" x14ac:dyDescent="0.25">
      <c r="A367" s="3" t="s">
        <v>657</v>
      </c>
      <c r="B367" s="3" t="s">
        <v>136</v>
      </c>
      <c r="C367" s="3" t="s">
        <v>63</v>
      </c>
      <c r="D367" s="3" t="s">
        <v>48</v>
      </c>
      <c r="E367" s="3" t="s">
        <v>20</v>
      </c>
      <c r="F367" s="3" t="s">
        <v>182</v>
      </c>
      <c r="G367" s="3">
        <v>8</v>
      </c>
      <c r="H367" s="3">
        <v>5000</v>
      </c>
      <c r="I367" s="3">
        <v>0</v>
      </c>
      <c r="J367" s="3">
        <v>40000</v>
      </c>
      <c r="K367" s="3">
        <v>3000</v>
      </c>
      <c r="L367" s="3">
        <v>24000</v>
      </c>
      <c r="M367" s="3">
        <v>16000</v>
      </c>
      <c r="N367" s="3" t="s">
        <v>22</v>
      </c>
      <c r="O367" s="3" t="s">
        <v>66</v>
      </c>
      <c r="P367" s="3" t="s">
        <v>44</v>
      </c>
    </row>
    <row r="368" spans="1:16" x14ac:dyDescent="0.25">
      <c r="A368" s="2" t="s">
        <v>658</v>
      </c>
      <c r="B368" s="2" t="s">
        <v>245</v>
      </c>
      <c r="C368" s="2" t="s">
        <v>92</v>
      </c>
      <c r="D368" s="2" t="s">
        <v>19</v>
      </c>
      <c r="E368" s="2" t="s">
        <v>20</v>
      </c>
      <c r="F368" s="2" t="s">
        <v>65</v>
      </c>
      <c r="G368" s="2">
        <v>14</v>
      </c>
      <c r="H368" s="2">
        <v>18000</v>
      </c>
      <c r="I368" s="2">
        <v>0</v>
      </c>
      <c r="J368" s="2">
        <v>252000</v>
      </c>
      <c r="K368" s="2">
        <v>12000</v>
      </c>
      <c r="L368" s="2">
        <v>168000</v>
      </c>
      <c r="M368" s="2">
        <v>84000</v>
      </c>
      <c r="N368" s="2" t="s">
        <v>42</v>
      </c>
      <c r="O368" s="2" t="s">
        <v>23</v>
      </c>
      <c r="P368" s="2" t="s">
        <v>24</v>
      </c>
    </row>
    <row r="369" spans="1:16" x14ac:dyDescent="0.25">
      <c r="A369" s="3" t="s">
        <v>659</v>
      </c>
      <c r="B369" s="3" t="s">
        <v>660</v>
      </c>
      <c r="C369" s="3" t="s">
        <v>33</v>
      </c>
      <c r="D369" s="3" t="s">
        <v>159</v>
      </c>
      <c r="E369" s="3" t="s">
        <v>28</v>
      </c>
      <c r="F369" s="3" t="s">
        <v>116</v>
      </c>
      <c r="G369" s="3">
        <v>6</v>
      </c>
      <c r="H369" s="3">
        <v>85000</v>
      </c>
      <c r="I369" s="3">
        <v>25</v>
      </c>
      <c r="J369" s="3">
        <v>382500</v>
      </c>
      <c r="K369" s="3">
        <v>65000</v>
      </c>
      <c r="L369" s="3">
        <v>390000</v>
      </c>
      <c r="M369" s="3">
        <v>-7500</v>
      </c>
      <c r="N369" s="3" t="s">
        <v>42</v>
      </c>
      <c r="O369" s="3" t="s">
        <v>43</v>
      </c>
      <c r="P369" s="3" t="s">
        <v>44</v>
      </c>
    </row>
    <row r="370" spans="1:16" x14ac:dyDescent="0.25">
      <c r="A370" s="2" t="s">
        <v>661</v>
      </c>
      <c r="B370" s="2" t="s">
        <v>248</v>
      </c>
      <c r="C370" s="2" t="s">
        <v>39</v>
      </c>
      <c r="D370" s="2" t="s">
        <v>27</v>
      </c>
      <c r="E370" s="2" t="s">
        <v>93</v>
      </c>
      <c r="F370" s="2" t="s">
        <v>109</v>
      </c>
      <c r="G370" s="2">
        <v>9</v>
      </c>
      <c r="H370" s="2">
        <v>700</v>
      </c>
      <c r="I370" s="2">
        <v>0</v>
      </c>
      <c r="J370" s="2">
        <v>6300</v>
      </c>
      <c r="K370" s="2">
        <v>500</v>
      </c>
      <c r="L370" s="2">
        <v>4500</v>
      </c>
      <c r="M370" s="2">
        <v>1800</v>
      </c>
      <c r="N370" s="2" t="s">
        <v>42</v>
      </c>
      <c r="O370" s="2" t="s">
        <v>36</v>
      </c>
      <c r="P370" s="2" t="s">
        <v>44</v>
      </c>
    </row>
    <row r="371" spans="1:16" x14ac:dyDescent="0.25">
      <c r="A371" s="3" t="s">
        <v>662</v>
      </c>
      <c r="B371" s="3" t="s">
        <v>368</v>
      </c>
      <c r="C371" s="3" t="s">
        <v>100</v>
      </c>
      <c r="D371" s="3" t="s">
        <v>40</v>
      </c>
      <c r="E371" s="3" t="s">
        <v>93</v>
      </c>
      <c r="F371" s="3" t="s">
        <v>119</v>
      </c>
      <c r="G371" s="3">
        <v>9</v>
      </c>
      <c r="H371" s="3">
        <v>800</v>
      </c>
      <c r="I371" s="3">
        <v>15</v>
      </c>
      <c r="J371" s="3">
        <v>6120</v>
      </c>
      <c r="K371" s="3">
        <v>600</v>
      </c>
      <c r="L371" s="3">
        <v>5400</v>
      </c>
      <c r="M371" s="3">
        <v>720</v>
      </c>
      <c r="N371" s="3" t="s">
        <v>42</v>
      </c>
      <c r="O371" s="3" t="s">
        <v>55</v>
      </c>
      <c r="P371" s="3" t="s">
        <v>44</v>
      </c>
    </row>
    <row r="372" spans="1:16" x14ac:dyDescent="0.25">
      <c r="A372" s="2" t="s">
        <v>663</v>
      </c>
      <c r="B372" s="2" t="s">
        <v>664</v>
      </c>
      <c r="C372" s="2" t="s">
        <v>47</v>
      </c>
      <c r="D372" s="2" t="s">
        <v>19</v>
      </c>
      <c r="E372" s="2" t="s">
        <v>34</v>
      </c>
      <c r="F372" s="2" t="s">
        <v>196</v>
      </c>
      <c r="G372" s="2">
        <v>3</v>
      </c>
      <c r="H372" s="2">
        <v>2500</v>
      </c>
      <c r="I372" s="2">
        <v>25</v>
      </c>
      <c r="J372" s="2">
        <v>5625</v>
      </c>
      <c r="K372" s="2">
        <v>1200</v>
      </c>
      <c r="L372" s="2">
        <v>3600</v>
      </c>
      <c r="M372" s="2">
        <v>2025</v>
      </c>
      <c r="N372" s="2" t="s">
        <v>42</v>
      </c>
      <c r="O372" s="2" t="s">
        <v>30</v>
      </c>
      <c r="P372" s="2" t="s">
        <v>44</v>
      </c>
    </row>
    <row r="373" spans="1:16" x14ac:dyDescent="0.25">
      <c r="A373" s="3" t="s">
        <v>665</v>
      </c>
      <c r="B373" s="3" t="s">
        <v>666</v>
      </c>
      <c r="C373" s="3" t="s">
        <v>33</v>
      </c>
      <c r="D373" s="3" t="s">
        <v>19</v>
      </c>
      <c r="E373" s="3" t="s">
        <v>93</v>
      </c>
      <c r="F373" s="3" t="s">
        <v>94</v>
      </c>
      <c r="G373" s="3">
        <v>14</v>
      </c>
      <c r="H373" s="3">
        <v>1200</v>
      </c>
      <c r="I373" s="3">
        <v>20</v>
      </c>
      <c r="J373" s="3">
        <v>13440</v>
      </c>
      <c r="K373" s="3">
        <v>900</v>
      </c>
      <c r="L373" s="3">
        <v>12600</v>
      </c>
      <c r="M373" s="3">
        <v>840</v>
      </c>
      <c r="N373" s="3" t="s">
        <v>42</v>
      </c>
      <c r="O373" s="3" t="s">
        <v>30</v>
      </c>
      <c r="P373" s="3" t="s">
        <v>86</v>
      </c>
    </row>
    <row r="374" spans="1:16" x14ac:dyDescent="0.25">
      <c r="A374" s="2" t="s">
        <v>667</v>
      </c>
      <c r="B374" s="2" t="s">
        <v>179</v>
      </c>
      <c r="C374" s="2" t="s">
        <v>39</v>
      </c>
      <c r="D374" s="2" t="s">
        <v>159</v>
      </c>
      <c r="E374" s="2" t="s">
        <v>93</v>
      </c>
      <c r="F374" s="2" t="s">
        <v>119</v>
      </c>
      <c r="G374" s="2">
        <v>17</v>
      </c>
      <c r="H374" s="2">
        <v>800</v>
      </c>
      <c r="I374" s="2">
        <v>20</v>
      </c>
      <c r="J374" s="2">
        <v>10880</v>
      </c>
      <c r="K374" s="2">
        <v>600</v>
      </c>
      <c r="L374" s="2">
        <v>10200</v>
      </c>
      <c r="M374" s="2">
        <v>680</v>
      </c>
      <c r="N374" s="2" t="s">
        <v>22</v>
      </c>
      <c r="O374" s="2" t="s">
        <v>43</v>
      </c>
      <c r="P374" s="2" t="s">
        <v>95</v>
      </c>
    </row>
    <row r="375" spans="1:16" x14ac:dyDescent="0.25">
      <c r="A375" s="3" t="s">
        <v>668</v>
      </c>
      <c r="B375" s="3" t="s">
        <v>366</v>
      </c>
      <c r="C375" s="3" t="s">
        <v>92</v>
      </c>
      <c r="D375" s="3" t="s">
        <v>40</v>
      </c>
      <c r="E375" s="3" t="s">
        <v>34</v>
      </c>
      <c r="F375" s="3" t="s">
        <v>146</v>
      </c>
      <c r="G375" s="3">
        <v>5</v>
      </c>
      <c r="H375" s="3">
        <v>3500</v>
      </c>
      <c r="I375" s="3">
        <v>0</v>
      </c>
      <c r="J375" s="3">
        <v>17500</v>
      </c>
      <c r="K375" s="3">
        <v>1800</v>
      </c>
      <c r="L375" s="3">
        <v>9000</v>
      </c>
      <c r="M375" s="3">
        <v>8500</v>
      </c>
      <c r="N375" s="3" t="s">
        <v>42</v>
      </c>
      <c r="O375" s="3" t="s">
        <v>43</v>
      </c>
      <c r="P375" s="3" t="s">
        <v>56</v>
      </c>
    </row>
    <row r="376" spans="1:16" x14ac:dyDescent="0.25">
      <c r="A376" s="2" t="s">
        <v>669</v>
      </c>
      <c r="B376" s="2" t="s">
        <v>529</v>
      </c>
      <c r="C376" s="2" t="s">
        <v>33</v>
      </c>
      <c r="D376" s="2" t="s">
        <v>40</v>
      </c>
      <c r="E376" s="2" t="s">
        <v>53</v>
      </c>
      <c r="F376" s="2" t="s">
        <v>85</v>
      </c>
      <c r="G376" s="2">
        <v>11</v>
      </c>
      <c r="H376" s="2">
        <v>1500</v>
      </c>
      <c r="I376" s="2">
        <v>25</v>
      </c>
      <c r="J376" s="2">
        <v>12375</v>
      </c>
      <c r="K376" s="2">
        <v>800</v>
      </c>
      <c r="L376" s="2">
        <v>8800</v>
      </c>
      <c r="M376" s="2">
        <v>3575</v>
      </c>
      <c r="N376" s="2" t="s">
        <v>22</v>
      </c>
      <c r="O376" s="2" t="s">
        <v>43</v>
      </c>
      <c r="P376" s="2" t="s">
        <v>44</v>
      </c>
    </row>
    <row r="377" spans="1:16" x14ac:dyDescent="0.25">
      <c r="A377" s="3" t="s">
        <v>670</v>
      </c>
      <c r="B377" s="3" t="s">
        <v>671</v>
      </c>
      <c r="C377" s="3" t="s">
        <v>63</v>
      </c>
      <c r="D377" s="3" t="s">
        <v>52</v>
      </c>
      <c r="E377" s="3" t="s">
        <v>20</v>
      </c>
      <c r="F377" s="3" t="s">
        <v>137</v>
      </c>
      <c r="G377" s="3">
        <v>15</v>
      </c>
      <c r="H377" s="3">
        <v>15000</v>
      </c>
      <c r="I377" s="3">
        <v>0</v>
      </c>
      <c r="J377" s="3">
        <v>225000</v>
      </c>
      <c r="K377" s="3">
        <v>10000</v>
      </c>
      <c r="L377" s="3">
        <v>150000</v>
      </c>
      <c r="M377" s="3">
        <v>75000</v>
      </c>
      <c r="N377" s="3" t="s">
        <v>42</v>
      </c>
      <c r="O377" s="3" t="s">
        <v>43</v>
      </c>
      <c r="P377" s="3" t="s">
        <v>44</v>
      </c>
    </row>
    <row r="378" spans="1:16" x14ac:dyDescent="0.25">
      <c r="A378" s="2" t="s">
        <v>672</v>
      </c>
      <c r="B378" s="2" t="s">
        <v>673</v>
      </c>
      <c r="C378" s="2" t="s">
        <v>47</v>
      </c>
      <c r="D378" s="2" t="s">
        <v>159</v>
      </c>
      <c r="E378" s="2" t="s">
        <v>28</v>
      </c>
      <c r="F378" s="2" t="s">
        <v>127</v>
      </c>
      <c r="G378" s="2">
        <v>4</v>
      </c>
      <c r="H378" s="2">
        <v>15000</v>
      </c>
      <c r="I378" s="2">
        <v>10</v>
      </c>
      <c r="J378" s="2">
        <v>54000</v>
      </c>
      <c r="K378" s="2">
        <v>10000</v>
      </c>
      <c r="L378" s="2">
        <v>40000</v>
      </c>
      <c r="M378" s="2">
        <v>14000</v>
      </c>
      <c r="N378" s="2" t="s">
        <v>42</v>
      </c>
      <c r="O378" s="2" t="s">
        <v>66</v>
      </c>
      <c r="P378" s="2" t="s">
        <v>44</v>
      </c>
    </row>
    <row r="379" spans="1:16" x14ac:dyDescent="0.25">
      <c r="A379" s="3" t="s">
        <v>674</v>
      </c>
      <c r="B379" s="3" t="s">
        <v>675</v>
      </c>
      <c r="C379" s="3" t="s">
        <v>122</v>
      </c>
      <c r="D379" s="3" t="s">
        <v>74</v>
      </c>
      <c r="E379" s="3" t="s">
        <v>28</v>
      </c>
      <c r="F379" s="3" t="s">
        <v>116</v>
      </c>
      <c r="G379" s="3">
        <v>9</v>
      </c>
      <c r="H379" s="3">
        <v>85000</v>
      </c>
      <c r="I379" s="3">
        <v>15</v>
      </c>
      <c r="J379" s="3">
        <v>650250</v>
      </c>
      <c r="K379" s="3">
        <v>65000</v>
      </c>
      <c r="L379" s="3">
        <v>585000</v>
      </c>
      <c r="M379" s="3">
        <v>65250</v>
      </c>
      <c r="N379" s="3" t="s">
        <v>22</v>
      </c>
      <c r="O379" s="3" t="s">
        <v>30</v>
      </c>
      <c r="P379" s="3" t="s">
        <v>24</v>
      </c>
    </row>
    <row r="380" spans="1:16" x14ac:dyDescent="0.25">
      <c r="A380" s="2" t="s">
        <v>676</v>
      </c>
      <c r="B380" s="2" t="s">
        <v>184</v>
      </c>
      <c r="C380" s="2" t="s">
        <v>77</v>
      </c>
      <c r="D380" s="2" t="s">
        <v>19</v>
      </c>
      <c r="E380" s="2" t="s">
        <v>93</v>
      </c>
      <c r="F380" s="2" t="s">
        <v>98</v>
      </c>
      <c r="G380" s="2">
        <v>8</v>
      </c>
      <c r="H380" s="2">
        <v>400</v>
      </c>
      <c r="I380" s="2">
        <v>0</v>
      </c>
      <c r="J380" s="2">
        <v>3200</v>
      </c>
      <c r="K380" s="2">
        <v>280</v>
      </c>
      <c r="L380" s="2">
        <v>2240</v>
      </c>
      <c r="M380" s="2">
        <v>960</v>
      </c>
      <c r="N380" s="2" t="s">
        <v>42</v>
      </c>
      <c r="O380" s="2" t="s">
        <v>55</v>
      </c>
      <c r="P380" s="2" t="s">
        <v>86</v>
      </c>
    </row>
    <row r="381" spans="1:16" x14ac:dyDescent="0.25">
      <c r="A381" s="3" t="s">
        <v>677</v>
      </c>
      <c r="B381" s="3" t="s">
        <v>678</v>
      </c>
      <c r="C381" s="3" t="s">
        <v>100</v>
      </c>
      <c r="D381" s="3" t="s">
        <v>48</v>
      </c>
      <c r="E381" s="3" t="s">
        <v>20</v>
      </c>
      <c r="F381" s="3" t="s">
        <v>182</v>
      </c>
      <c r="G381" s="3">
        <v>16</v>
      </c>
      <c r="H381" s="3">
        <v>5000</v>
      </c>
      <c r="I381" s="3">
        <v>25</v>
      </c>
      <c r="J381" s="3">
        <v>60000</v>
      </c>
      <c r="K381" s="3">
        <v>3000</v>
      </c>
      <c r="L381" s="3">
        <v>48000</v>
      </c>
      <c r="M381" s="3">
        <v>12000</v>
      </c>
      <c r="N381" s="3" t="s">
        <v>22</v>
      </c>
      <c r="O381" s="3" t="s">
        <v>36</v>
      </c>
      <c r="P381" s="3" t="s">
        <v>44</v>
      </c>
    </row>
    <row r="382" spans="1:16" x14ac:dyDescent="0.25">
      <c r="A382" s="2" t="s">
        <v>679</v>
      </c>
      <c r="B382" s="2" t="s">
        <v>680</v>
      </c>
      <c r="C382" s="2" t="s">
        <v>100</v>
      </c>
      <c r="D382" s="2" t="s">
        <v>48</v>
      </c>
      <c r="E382" s="2" t="s">
        <v>93</v>
      </c>
      <c r="F382" s="2" t="s">
        <v>94</v>
      </c>
      <c r="G382" s="2">
        <v>3</v>
      </c>
      <c r="H382" s="2">
        <v>1200</v>
      </c>
      <c r="I382" s="2">
        <v>5</v>
      </c>
      <c r="J382" s="2">
        <v>3420</v>
      </c>
      <c r="K382" s="2">
        <v>900</v>
      </c>
      <c r="L382" s="2">
        <v>2700</v>
      </c>
      <c r="M382" s="2">
        <v>720</v>
      </c>
      <c r="N382" s="2" t="s">
        <v>42</v>
      </c>
      <c r="O382" s="2" t="s">
        <v>36</v>
      </c>
      <c r="P382" s="2" t="s">
        <v>95</v>
      </c>
    </row>
    <row r="383" spans="1:16" x14ac:dyDescent="0.25">
      <c r="A383" s="3" t="s">
        <v>681</v>
      </c>
      <c r="B383" s="3" t="s">
        <v>682</v>
      </c>
      <c r="C383" s="3" t="s">
        <v>122</v>
      </c>
      <c r="D383" s="3" t="s">
        <v>52</v>
      </c>
      <c r="E383" s="3" t="s">
        <v>28</v>
      </c>
      <c r="F383" s="3" t="s">
        <v>127</v>
      </c>
      <c r="G383" s="3">
        <v>6</v>
      </c>
      <c r="H383" s="3">
        <v>15000</v>
      </c>
      <c r="I383" s="3">
        <v>0</v>
      </c>
      <c r="J383" s="3">
        <v>90000</v>
      </c>
      <c r="K383" s="3">
        <v>10000</v>
      </c>
      <c r="L383" s="3">
        <v>60000</v>
      </c>
      <c r="M383" s="3">
        <v>30000</v>
      </c>
      <c r="N383" s="3" t="s">
        <v>42</v>
      </c>
      <c r="O383" s="3" t="s">
        <v>23</v>
      </c>
      <c r="P383" s="3" t="s">
        <v>44</v>
      </c>
    </row>
    <row r="384" spans="1:16" x14ac:dyDescent="0.25">
      <c r="A384" s="2" t="s">
        <v>683</v>
      </c>
      <c r="B384" s="2" t="s">
        <v>645</v>
      </c>
      <c r="C384" s="2" t="s">
        <v>63</v>
      </c>
      <c r="D384" s="2" t="s">
        <v>19</v>
      </c>
      <c r="E384" s="2" t="s">
        <v>34</v>
      </c>
      <c r="F384" s="2" t="s">
        <v>146</v>
      </c>
      <c r="G384" s="2">
        <v>7</v>
      </c>
      <c r="H384" s="2">
        <v>3500</v>
      </c>
      <c r="I384" s="2">
        <v>0</v>
      </c>
      <c r="J384" s="2">
        <v>24500</v>
      </c>
      <c r="K384" s="2">
        <v>1800</v>
      </c>
      <c r="L384" s="2">
        <v>12600</v>
      </c>
      <c r="M384" s="2">
        <v>11900</v>
      </c>
      <c r="N384" s="2" t="s">
        <v>22</v>
      </c>
      <c r="O384" s="2" t="s">
        <v>43</v>
      </c>
      <c r="P384" s="2" t="s">
        <v>44</v>
      </c>
    </row>
    <row r="385" spans="1:16" x14ac:dyDescent="0.25">
      <c r="A385" s="3" t="s">
        <v>684</v>
      </c>
      <c r="B385" s="3" t="s">
        <v>602</v>
      </c>
      <c r="C385" s="3" t="s">
        <v>33</v>
      </c>
      <c r="D385" s="3" t="s">
        <v>48</v>
      </c>
      <c r="E385" s="3" t="s">
        <v>20</v>
      </c>
      <c r="F385" s="3" t="s">
        <v>59</v>
      </c>
      <c r="G385" s="3">
        <v>17</v>
      </c>
      <c r="H385" s="3">
        <v>12000</v>
      </c>
      <c r="I385" s="3">
        <v>15</v>
      </c>
      <c r="J385" s="3">
        <v>173400</v>
      </c>
      <c r="K385" s="3">
        <v>8000</v>
      </c>
      <c r="L385" s="3">
        <v>136000</v>
      </c>
      <c r="M385" s="3">
        <v>37400</v>
      </c>
      <c r="N385" s="3" t="s">
        <v>22</v>
      </c>
      <c r="O385" s="3" t="s">
        <v>23</v>
      </c>
      <c r="P385" s="3" t="s">
        <v>44</v>
      </c>
    </row>
    <row r="386" spans="1:16" x14ac:dyDescent="0.25">
      <c r="A386" s="2" t="s">
        <v>685</v>
      </c>
      <c r="B386" s="2" t="s">
        <v>370</v>
      </c>
      <c r="C386" s="2" t="s">
        <v>122</v>
      </c>
      <c r="D386" s="2" t="s">
        <v>74</v>
      </c>
      <c r="E386" s="2" t="s">
        <v>34</v>
      </c>
      <c r="F386" s="2" t="s">
        <v>35</v>
      </c>
      <c r="G386" s="2">
        <v>19</v>
      </c>
      <c r="H386" s="2">
        <v>6000</v>
      </c>
      <c r="I386" s="2">
        <v>20</v>
      </c>
      <c r="J386" s="2">
        <v>91200</v>
      </c>
      <c r="K386" s="2">
        <v>3500</v>
      </c>
      <c r="L386" s="2">
        <v>66500</v>
      </c>
      <c r="M386" s="2">
        <v>24700</v>
      </c>
      <c r="N386" s="2" t="s">
        <v>42</v>
      </c>
      <c r="O386" s="2" t="s">
        <v>55</v>
      </c>
      <c r="P386" s="2" t="s">
        <v>44</v>
      </c>
    </row>
    <row r="387" spans="1:16" x14ac:dyDescent="0.25">
      <c r="A387" s="3" t="s">
        <v>686</v>
      </c>
      <c r="B387" s="3" t="s">
        <v>687</v>
      </c>
      <c r="C387" s="3" t="s">
        <v>18</v>
      </c>
      <c r="D387" s="3" t="s">
        <v>48</v>
      </c>
      <c r="E387" s="3" t="s">
        <v>28</v>
      </c>
      <c r="F387" s="3" t="s">
        <v>49</v>
      </c>
      <c r="G387" s="3">
        <v>2</v>
      </c>
      <c r="H387" s="3">
        <v>5000</v>
      </c>
      <c r="I387" s="3">
        <v>5</v>
      </c>
      <c r="J387" s="3">
        <v>9500</v>
      </c>
      <c r="K387" s="3">
        <v>3000</v>
      </c>
      <c r="L387" s="3">
        <v>6000</v>
      </c>
      <c r="M387" s="3">
        <v>3500</v>
      </c>
      <c r="N387" s="3" t="s">
        <v>22</v>
      </c>
      <c r="O387" s="3" t="s">
        <v>36</v>
      </c>
      <c r="P387" s="3" t="s">
        <v>24</v>
      </c>
    </row>
    <row r="388" spans="1:16" x14ac:dyDescent="0.25">
      <c r="A388" s="2" t="s">
        <v>688</v>
      </c>
      <c r="B388" s="2" t="s">
        <v>571</v>
      </c>
      <c r="C388" s="2" t="s">
        <v>33</v>
      </c>
      <c r="D388" s="2" t="s">
        <v>48</v>
      </c>
      <c r="E388" s="2" t="s">
        <v>93</v>
      </c>
      <c r="F388" s="2" t="s">
        <v>94</v>
      </c>
      <c r="G388" s="2">
        <v>1</v>
      </c>
      <c r="H388" s="2">
        <v>1200</v>
      </c>
      <c r="I388" s="2">
        <v>25</v>
      </c>
      <c r="J388" s="2">
        <v>900</v>
      </c>
      <c r="K388" s="2">
        <v>900</v>
      </c>
      <c r="L388" s="2">
        <v>900</v>
      </c>
      <c r="M388" s="2">
        <v>0</v>
      </c>
      <c r="N388" s="2" t="s">
        <v>22</v>
      </c>
      <c r="O388" s="2" t="s">
        <v>66</v>
      </c>
      <c r="P388" s="2" t="s">
        <v>95</v>
      </c>
    </row>
    <row r="389" spans="1:16" x14ac:dyDescent="0.25">
      <c r="A389" s="3" t="s">
        <v>689</v>
      </c>
      <c r="B389" s="3" t="s">
        <v>491</v>
      </c>
      <c r="C389" s="3" t="s">
        <v>92</v>
      </c>
      <c r="D389" s="3" t="s">
        <v>19</v>
      </c>
      <c r="E389" s="3" t="s">
        <v>34</v>
      </c>
      <c r="F389" s="3" t="s">
        <v>41</v>
      </c>
      <c r="G389" s="3">
        <v>20</v>
      </c>
      <c r="H389" s="3">
        <v>3000</v>
      </c>
      <c r="I389" s="3">
        <v>10</v>
      </c>
      <c r="J389" s="3">
        <v>54000</v>
      </c>
      <c r="K389" s="3">
        <v>1500</v>
      </c>
      <c r="L389" s="3">
        <v>30000</v>
      </c>
      <c r="M389" s="3">
        <v>24000</v>
      </c>
      <c r="N389" s="3" t="s">
        <v>42</v>
      </c>
      <c r="O389" s="3" t="s">
        <v>66</v>
      </c>
      <c r="P389" s="3" t="s">
        <v>86</v>
      </c>
    </row>
    <row r="390" spans="1:16" x14ac:dyDescent="0.25">
      <c r="A390" s="2" t="s">
        <v>690</v>
      </c>
      <c r="B390" s="2" t="s">
        <v>691</v>
      </c>
      <c r="C390" s="2" t="s">
        <v>122</v>
      </c>
      <c r="D390" s="2" t="s">
        <v>48</v>
      </c>
      <c r="E390" s="2" t="s">
        <v>34</v>
      </c>
      <c r="F390" s="2" t="s">
        <v>35</v>
      </c>
      <c r="G390" s="2">
        <v>10</v>
      </c>
      <c r="H390" s="2">
        <v>6000</v>
      </c>
      <c r="I390" s="2">
        <v>25</v>
      </c>
      <c r="J390" s="2">
        <v>45000</v>
      </c>
      <c r="K390" s="2">
        <v>3500</v>
      </c>
      <c r="L390" s="2">
        <v>35000</v>
      </c>
      <c r="M390" s="2">
        <v>10000</v>
      </c>
      <c r="N390" s="2" t="s">
        <v>42</v>
      </c>
      <c r="O390" s="2" t="s">
        <v>30</v>
      </c>
      <c r="P390" s="2" t="s">
        <v>44</v>
      </c>
    </row>
    <row r="391" spans="1:16" x14ac:dyDescent="0.25">
      <c r="A391" s="3" t="s">
        <v>692</v>
      </c>
      <c r="B391" s="3" t="s">
        <v>693</v>
      </c>
      <c r="C391" s="3" t="s">
        <v>100</v>
      </c>
      <c r="D391" s="3" t="s">
        <v>48</v>
      </c>
      <c r="E391" s="3" t="s">
        <v>20</v>
      </c>
      <c r="F391" s="3" t="s">
        <v>65</v>
      </c>
      <c r="G391" s="3">
        <v>16</v>
      </c>
      <c r="H391" s="3">
        <v>18000</v>
      </c>
      <c r="I391" s="3">
        <v>0</v>
      </c>
      <c r="J391" s="3">
        <v>288000</v>
      </c>
      <c r="K391" s="3">
        <v>12000</v>
      </c>
      <c r="L391" s="3">
        <v>192000</v>
      </c>
      <c r="M391" s="3">
        <v>96000</v>
      </c>
      <c r="N391" s="3" t="s">
        <v>42</v>
      </c>
      <c r="O391" s="3" t="s">
        <v>55</v>
      </c>
      <c r="P391" s="3" t="s">
        <v>24</v>
      </c>
    </row>
    <row r="392" spans="1:16" x14ac:dyDescent="0.25">
      <c r="A392" s="2" t="s">
        <v>694</v>
      </c>
      <c r="B392" s="2" t="s">
        <v>213</v>
      </c>
      <c r="C392" s="2" t="s">
        <v>39</v>
      </c>
      <c r="D392" s="2" t="s">
        <v>48</v>
      </c>
      <c r="E392" s="2" t="s">
        <v>34</v>
      </c>
      <c r="F392" s="2" t="s">
        <v>146</v>
      </c>
      <c r="G392" s="2">
        <v>17</v>
      </c>
      <c r="H392" s="2">
        <v>3500</v>
      </c>
      <c r="I392" s="2">
        <v>5</v>
      </c>
      <c r="J392" s="2">
        <v>56525</v>
      </c>
      <c r="K392" s="2">
        <v>1800</v>
      </c>
      <c r="L392" s="2">
        <v>30600</v>
      </c>
      <c r="M392" s="2">
        <v>25925</v>
      </c>
      <c r="N392" s="2" t="s">
        <v>22</v>
      </c>
      <c r="O392" s="2" t="s">
        <v>30</v>
      </c>
      <c r="P392" s="2" t="s">
        <v>44</v>
      </c>
    </row>
    <row r="393" spans="1:16" x14ac:dyDescent="0.25">
      <c r="A393" s="3" t="s">
        <v>695</v>
      </c>
      <c r="B393" s="3" t="s">
        <v>497</v>
      </c>
      <c r="C393" s="3" t="s">
        <v>92</v>
      </c>
      <c r="D393" s="3" t="s">
        <v>19</v>
      </c>
      <c r="E393" s="3" t="s">
        <v>93</v>
      </c>
      <c r="F393" s="3" t="s">
        <v>98</v>
      </c>
      <c r="G393" s="3">
        <v>9</v>
      </c>
      <c r="H393" s="3">
        <v>400</v>
      </c>
      <c r="I393" s="3">
        <v>15</v>
      </c>
      <c r="J393" s="3">
        <v>3060</v>
      </c>
      <c r="K393" s="3">
        <v>280</v>
      </c>
      <c r="L393" s="3">
        <v>2520</v>
      </c>
      <c r="M393" s="3">
        <v>540</v>
      </c>
      <c r="N393" s="3" t="s">
        <v>42</v>
      </c>
      <c r="O393" s="3" t="s">
        <v>66</v>
      </c>
      <c r="P393" s="3" t="s">
        <v>24</v>
      </c>
    </row>
    <row r="394" spans="1:16" x14ac:dyDescent="0.25">
      <c r="A394" s="2" t="s">
        <v>696</v>
      </c>
      <c r="B394" s="2" t="s">
        <v>697</v>
      </c>
      <c r="C394" s="2" t="s">
        <v>47</v>
      </c>
      <c r="D394" s="2" t="s">
        <v>64</v>
      </c>
      <c r="E394" s="2" t="s">
        <v>20</v>
      </c>
      <c r="F394" s="2" t="s">
        <v>21</v>
      </c>
      <c r="G394" s="2">
        <v>18</v>
      </c>
      <c r="H394" s="2">
        <v>3500</v>
      </c>
      <c r="I394" s="2">
        <v>25</v>
      </c>
      <c r="J394" s="2">
        <v>47250</v>
      </c>
      <c r="K394" s="2">
        <v>2000</v>
      </c>
      <c r="L394" s="2">
        <v>36000</v>
      </c>
      <c r="M394" s="2">
        <v>11250</v>
      </c>
      <c r="N394" s="2" t="s">
        <v>42</v>
      </c>
      <c r="O394" s="2" t="s">
        <v>23</v>
      </c>
      <c r="P394" s="2" t="s">
        <v>44</v>
      </c>
    </row>
    <row r="395" spans="1:16" x14ac:dyDescent="0.25">
      <c r="A395" s="3" t="s">
        <v>698</v>
      </c>
      <c r="B395" s="3" t="s">
        <v>404</v>
      </c>
      <c r="C395" s="3" t="s">
        <v>92</v>
      </c>
      <c r="D395" s="3" t="s">
        <v>40</v>
      </c>
      <c r="E395" s="3" t="s">
        <v>20</v>
      </c>
      <c r="F395" s="3" t="s">
        <v>65</v>
      </c>
      <c r="G395" s="3">
        <v>16</v>
      </c>
      <c r="H395" s="3">
        <v>18000</v>
      </c>
      <c r="I395" s="3">
        <v>5</v>
      </c>
      <c r="J395" s="3">
        <v>273600</v>
      </c>
      <c r="K395" s="3">
        <v>12000</v>
      </c>
      <c r="L395" s="3">
        <v>192000</v>
      </c>
      <c r="M395" s="3">
        <v>81600</v>
      </c>
      <c r="N395" s="3" t="s">
        <v>42</v>
      </c>
      <c r="O395" s="3" t="s">
        <v>23</v>
      </c>
      <c r="P395" s="3" t="s">
        <v>86</v>
      </c>
    </row>
    <row r="396" spans="1:16" x14ac:dyDescent="0.25">
      <c r="A396" s="2" t="s">
        <v>699</v>
      </c>
      <c r="B396" s="2" t="s">
        <v>700</v>
      </c>
      <c r="C396" s="2" t="s">
        <v>100</v>
      </c>
      <c r="D396" s="2" t="s">
        <v>159</v>
      </c>
      <c r="E396" s="2" t="s">
        <v>34</v>
      </c>
      <c r="F396" s="2" t="s">
        <v>41</v>
      </c>
      <c r="G396" s="2">
        <v>8</v>
      </c>
      <c r="H396" s="2">
        <v>3000</v>
      </c>
      <c r="I396" s="2">
        <v>25</v>
      </c>
      <c r="J396" s="2">
        <v>18000</v>
      </c>
      <c r="K396" s="2">
        <v>1500</v>
      </c>
      <c r="L396" s="2">
        <v>12000</v>
      </c>
      <c r="M396" s="2">
        <v>6000</v>
      </c>
      <c r="N396" s="2" t="s">
        <v>42</v>
      </c>
      <c r="O396" s="2" t="s">
        <v>66</v>
      </c>
      <c r="P396" s="2" t="s">
        <v>86</v>
      </c>
    </row>
    <row r="397" spans="1:16" x14ac:dyDescent="0.25">
      <c r="A397" s="3" t="s">
        <v>701</v>
      </c>
      <c r="B397" s="3" t="s">
        <v>627</v>
      </c>
      <c r="C397" s="3" t="s">
        <v>100</v>
      </c>
      <c r="D397" s="3" t="s">
        <v>48</v>
      </c>
      <c r="E397" s="3" t="s">
        <v>53</v>
      </c>
      <c r="F397" s="3" t="s">
        <v>85</v>
      </c>
      <c r="G397" s="3">
        <v>15</v>
      </c>
      <c r="H397" s="3">
        <v>1500</v>
      </c>
      <c r="I397" s="3">
        <v>0</v>
      </c>
      <c r="J397" s="3">
        <v>22500</v>
      </c>
      <c r="K397" s="3">
        <v>800</v>
      </c>
      <c r="L397" s="3">
        <v>12000</v>
      </c>
      <c r="M397" s="3">
        <v>10500</v>
      </c>
      <c r="N397" s="3" t="s">
        <v>42</v>
      </c>
      <c r="O397" s="3" t="s">
        <v>43</v>
      </c>
      <c r="P397" s="3" t="s">
        <v>86</v>
      </c>
    </row>
    <row r="398" spans="1:16" x14ac:dyDescent="0.25">
      <c r="A398" s="2" t="s">
        <v>702</v>
      </c>
      <c r="B398" s="2" t="s">
        <v>697</v>
      </c>
      <c r="C398" s="2" t="s">
        <v>47</v>
      </c>
      <c r="D398" s="2" t="s">
        <v>159</v>
      </c>
      <c r="E398" s="2" t="s">
        <v>93</v>
      </c>
      <c r="F398" s="2" t="s">
        <v>188</v>
      </c>
      <c r="G398" s="2">
        <v>17</v>
      </c>
      <c r="H398" s="2">
        <v>1500</v>
      </c>
      <c r="I398" s="2">
        <v>0</v>
      </c>
      <c r="J398" s="2">
        <v>25500</v>
      </c>
      <c r="K398" s="2">
        <v>1100</v>
      </c>
      <c r="L398" s="2">
        <v>18700</v>
      </c>
      <c r="M398" s="2">
        <v>6800</v>
      </c>
      <c r="N398" s="2" t="s">
        <v>42</v>
      </c>
      <c r="O398" s="2" t="s">
        <v>30</v>
      </c>
      <c r="P398" s="2" t="s">
        <v>44</v>
      </c>
    </row>
    <row r="399" spans="1:16" x14ac:dyDescent="0.25">
      <c r="A399" s="3" t="s">
        <v>703</v>
      </c>
      <c r="B399" s="3" t="s">
        <v>225</v>
      </c>
      <c r="C399" s="3" t="s">
        <v>92</v>
      </c>
      <c r="D399" s="3" t="s">
        <v>40</v>
      </c>
      <c r="E399" s="3" t="s">
        <v>34</v>
      </c>
      <c r="F399" s="3" t="s">
        <v>41</v>
      </c>
      <c r="G399" s="3">
        <v>14</v>
      </c>
      <c r="H399" s="3">
        <v>3000</v>
      </c>
      <c r="I399" s="3">
        <v>20</v>
      </c>
      <c r="J399" s="3">
        <v>33600</v>
      </c>
      <c r="K399" s="3">
        <v>1500</v>
      </c>
      <c r="L399" s="3">
        <v>21000</v>
      </c>
      <c r="M399" s="3">
        <v>12600</v>
      </c>
      <c r="N399" s="3" t="s">
        <v>42</v>
      </c>
      <c r="O399" s="3" t="s">
        <v>36</v>
      </c>
      <c r="P399" s="3" t="s">
        <v>44</v>
      </c>
    </row>
    <row r="400" spans="1:16" x14ac:dyDescent="0.25">
      <c r="A400" s="2" t="s">
        <v>704</v>
      </c>
      <c r="B400" s="2" t="s">
        <v>705</v>
      </c>
      <c r="C400" s="2" t="s">
        <v>18</v>
      </c>
      <c r="D400" s="2" t="s">
        <v>74</v>
      </c>
      <c r="E400" s="2" t="s">
        <v>20</v>
      </c>
      <c r="F400" s="2" t="s">
        <v>21</v>
      </c>
      <c r="G400" s="2">
        <v>11</v>
      </c>
      <c r="H400" s="2">
        <v>3500</v>
      </c>
      <c r="I400" s="2">
        <v>25</v>
      </c>
      <c r="J400" s="2">
        <v>28875</v>
      </c>
      <c r="K400" s="2">
        <v>2000</v>
      </c>
      <c r="L400" s="2">
        <v>22000</v>
      </c>
      <c r="M400" s="2">
        <v>6875</v>
      </c>
      <c r="N400" s="2" t="s">
        <v>22</v>
      </c>
      <c r="O400" s="2" t="s">
        <v>43</v>
      </c>
      <c r="P400" s="2" t="s">
        <v>44</v>
      </c>
    </row>
    <row r="401" spans="1:16" x14ac:dyDescent="0.25">
      <c r="A401" s="3" t="s">
        <v>706</v>
      </c>
      <c r="B401" s="3" t="s">
        <v>707</v>
      </c>
      <c r="C401" s="3" t="s">
        <v>92</v>
      </c>
      <c r="D401" s="3" t="s">
        <v>40</v>
      </c>
      <c r="E401" s="3" t="s">
        <v>93</v>
      </c>
      <c r="F401" s="3" t="s">
        <v>119</v>
      </c>
      <c r="G401" s="3">
        <v>5</v>
      </c>
      <c r="H401" s="3">
        <v>800</v>
      </c>
      <c r="I401" s="3">
        <v>20</v>
      </c>
      <c r="J401" s="3">
        <v>3200</v>
      </c>
      <c r="K401" s="3">
        <v>600</v>
      </c>
      <c r="L401" s="3">
        <v>3000</v>
      </c>
      <c r="M401" s="3">
        <v>200</v>
      </c>
      <c r="N401" s="3" t="s">
        <v>42</v>
      </c>
      <c r="O401" s="3" t="s">
        <v>23</v>
      </c>
      <c r="P401" s="3" t="s">
        <v>44</v>
      </c>
    </row>
    <row r="402" spans="1:16" x14ac:dyDescent="0.25">
      <c r="A402" s="2" t="s">
        <v>708</v>
      </c>
      <c r="B402" s="2" t="s">
        <v>566</v>
      </c>
      <c r="C402" s="2" t="s">
        <v>122</v>
      </c>
      <c r="D402" s="2" t="s">
        <v>27</v>
      </c>
      <c r="E402" s="2" t="s">
        <v>28</v>
      </c>
      <c r="F402" s="2" t="s">
        <v>29</v>
      </c>
      <c r="G402" s="2">
        <v>18</v>
      </c>
      <c r="H402" s="2">
        <v>25000</v>
      </c>
      <c r="I402" s="2">
        <v>5</v>
      </c>
      <c r="J402" s="2">
        <v>427500</v>
      </c>
      <c r="K402" s="2">
        <v>18000</v>
      </c>
      <c r="L402" s="2">
        <v>324000</v>
      </c>
      <c r="M402" s="2">
        <v>103500</v>
      </c>
      <c r="N402" s="2" t="s">
        <v>42</v>
      </c>
      <c r="O402" s="2" t="s">
        <v>43</v>
      </c>
      <c r="P402" s="2" t="s">
        <v>86</v>
      </c>
    </row>
    <row r="403" spans="1:16" x14ac:dyDescent="0.25">
      <c r="A403" s="3" t="s">
        <v>709</v>
      </c>
      <c r="B403" s="3" t="s">
        <v>452</v>
      </c>
      <c r="C403" s="3" t="s">
        <v>33</v>
      </c>
      <c r="D403" s="3" t="s">
        <v>19</v>
      </c>
      <c r="E403" s="3" t="s">
        <v>28</v>
      </c>
      <c r="F403" s="3" t="s">
        <v>116</v>
      </c>
      <c r="G403" s="3">
        <v>8</v>
      </c>
      <c r="H403" s="3">
        <v>85000</v>
      </c>
      <c r="I403" s="3">
        <v>25</v>
      </c>
      <c r="J403" s="3">
        <v>510000</v>
      </c>
      <c r="K403" s="3">
        <v>65000</v>
      </c>
      <c r="L403" s="3">
        <v>520000</v>
      </c>
      <c r="M403" s="3">
        <v>-10000</v>
      </c>
      <c r="N403" s="3" t="s">
        <v>42</v>
      </c>
      <c r="O403" s="3" t="s">
        <v>55</v>
      </c>
      <c r="P403" s="3" t="s">
        <v>44</v>
      </c>
    </row>
    <row r="404" spans="1:16" x14ac:dyDescent="0.25">
      <c r="A404" s="2" t="s">
        <v>710</v>
      </c>
      <c r="B404" s="2" t="s">
        <v>556</v>
      </c>
      <c r="C404" s="2" t="s">
        <v>63</v>
      </c>
      <c r="D404" s="2" t="s">
        <v>48</v>
      </c>
      <c r="E404" s="2" t="s">
        <v>34</v>
      </c>
      <c r="F404" s="2" t="s">
        <v>196</v>
      </c>
      <c r="G404" s="2">
        <v>2</v>
      </c>
      <c r="H404" s="2">
        <v>2500</v>
      </c>
      <c r="I404" s="2">
        <v>10</v>
      </c>
      <c r="J404" s="2">
        <v>4500</v>
      </c>
      <c r="K404" s="2">
        <v>1200</v>
      </c>
      <c r="L404" s="2">
        <v>2400</v>
      </c>
      <c r="M404" s="2">
        <v>2100</v>
      </c>
      <c r="N404" s="2" t="s">
        <v>42</v>
      </c>
      <c r="O404" s="2" t="s">
        <v>66</v>
      </c>
      <c r="P404" s="2" t="s">
        <v>24</v>
      </c>
    </row>
    <row r="405" spans="1:16" x14ac:dyDescent="0.25">
      <c r="A405" s="3" t="s">
        <v>711</v>
      </c>
      <c r="B405" s="3" t="s">
        <v>712</v>
      </c>
      <c r="C405" s="3" t="s">
        <v>63</v>
      </c>
      <c r="D405" s="3" t="s">
        <v>52</v>
      </c>
      <c r="E405" s="3" t="s">
        <v>93</v>
      </c>
      <c r="F405" s="3" t="s">
        <v>188</v>
      </c>
      <c r="G405" s="3">
        <v>11</v>
      </c>
      <c r="H405" s="3">
        <v>1500</v>
      </c>
      <c r="I405" s="3">
        <v>15</v>
      </c>
      <c r="J405" s="3">
        <v>14025</v>
      </c>
      <c r="K405" s="3">
        <v>1100</v>
      </c>
      <c r="L405" s="3">
        <v>12100</v>
      </c>
      <c r="M405" s="3">
        <v>1925</v>
      </c>
      <c r="N405" s="3" t="s">
        <v>42</v>
      </c>
      <c r="O405" s="3" t="s">
        <v>36</v>
      </c>
      <c r="P405" s="3" t="s">
        <v>44</v>
      </c>
    </row>
    <row r="406" spans="1:16" x14ac:dyDescent="0.25">
      <c r="A406" s="2" t="s">
        <v>713</v>
      </c>
      <c r="B406" s="2" t="s">
        <v>714</v>
      </c>
      <c r="C406" s="2" t="s">
        <v>104</v>
      </c>
      <c r="D406" s="2" t="s">
        <v>64</v>
      </c>
      <c r="E406" s="2" t="s">
        <v>34</v>
      </c>
      <c r="F406" s="2" t="s">
        <v>146</v>
      </c>
      <c r="G406" s="2">
        <v>7</v>
      </c>
      <c r="H406" s="2">
        <v>3500</v>
      </c>
      <c r="I406" s="2">
        <v>25</v>
      </c>
      <c r="J406" s="2">
        <v>18375</v>
      </c>
      <c r="K406" s="2">
        <v>1800</v>
      </c>
      <c r="L406" s="2">
        <v>12600</v>
      </c>
      <c r="M406" s="2">
        <v>5775</v>
      </c>
      <c r="N406" s="2" t="s">
        <v>22</v>
      </c>
      <c r="O406" s="2" t="s">
        <v>30</v>
      </c>
      <c r="P406" s="2" t="s">
        <v>44</v>
      </c>
    </row>
    <row r="407" spans="1:16" x14ac:dyDescent="0.25">
      <c r="A407" s="3" t="s">
        <v>715</v>
      </c>
      <c r="B407" s="3" t="s">
        <v>163</v>
      </c>
      <c r="C407" s="3" t="s">
        <v>100</v>
      </c>
      <c r="D407" s="3" t="s">
        <v>19</v>
      </c>
      <c r="E407" s="3" t="s">
        <v>93</v>
      </c>
      <c r="F407" s="3" t="s">
        <v>98</v>
      </c>
      <c r="G407" s="3">
        <v>18</v>
      </c>
      <c r="H407" s="3">
        <v>400</v>
      </c>
      <c r="I407" s="3">
        <v>20</v>
      </c>
      <c r="J407" s="3">
        <v>5760</v>
      </c>
      <c r="K407" s="3">
        <v>280</v>
      </c>
      <c r="L407" s="3">
        <v>5040</v>
      </c>
      <c r="M407" s="3">
        <v>720</v>
      </c>
      <c r="N407" s="3" t="s">
        <v>22</v>
      </c>
      <c r="O407" s="3" t="s">
        <v>30</v>
      </c>
      <c r="P407" s="3" t="s">
        <v>56</v>
      </c>
    </row>
    <row r="408" spans="1:16" x14ac:dyDescent="0.25">
      <c r="A408" s="2" t="s">
        <v>716</v>
      </c>
      <c r="B408" s="2" t="s">
        <v>717</v>
      </c>
      <c r="C408" s="2" t="s">
        <v>18</v>
      </c>
      <c r="D408" s="2" t="s">
        <v>19</v>
      </c>
      <c r="E408" s="2" t="s">
        <v>28</v>
      </c>
      <c r="F408" s="2" t="s">
        <v>29</v>
      </c>
      <c r="G408" s="2">
        <v>14</v>
      </c>
      <c r="H408" s="2">
        <v>25000</v>
      </c>
      <c r="I408" s="2">
        <v>15</v>
      </c>
      <c r="J408" s="2">
        <v>297500</v>
      </c>
      <c r="K408" s="2">
        <v>18000</v>
      </c>
      <c r="L408" s="2">
        <v>252000</v>
      </c>
      <c r="M408" s="2">
        <v>45500</v>
      </c>
      <c r="N408" s="2" t="s">
        <v>42</v>
      </c>
      <c r="O408" s="2" t="s">
        <v>43</v>
      </c>
      <c r="P408" s="2" t="s">
        <v>44</v>
      </c>
    </row>
    <row r="409" spans="1:16" x14ac:dyDescent="0.25">
      <c r="A409" s="3" t="s">
        <v>718</v>
      </c>
      <c r="B409" s="3" t="s">
        <v>435</v>
      </c>
      <c r="C409" s="3" t="s">
        <v>92</v>
      </c>
      <c r="D409" s="3" t="s">
        <v>64</v>
      </c>
      <c r="E409" s="3" t="s">
        <v>28</v>
      </c>
      <c r="F409" s="3" t="s">
        <v>274</v>
      </c>
      <c r="G409" s="3">
        <v>14</v>
      </c>
      <c r="H409" s="3">
        <v>35000</v>
      </c>
      <c r="I409" s="3">
        <v>25</v>
      </c>
      <c r="J409" s="3">
        <v>367500</v>
      </c>
      <c r="K409" s="3">
        <v>26000</v>
      </c>
      <c r="L409" s="3">
        <v>364000</v>
      </c>
      <c r="M409" s="3">
        <v>3500</v>
      </c>
      <c r="N409" s="3" t="s">
        <v>22</v>
      </c>
      <c r="O409" s="3" t="s">
        <v>23</v>
      </c>
      <c r="P409" s="3" t="s">
        <v>44</v>
      </c>
    </row>
    <row r="410" spans="1:16" x14ac:dyDescent="0.25">
      <c r="A410" s="2" t="s">
        <v>719</v>
      </c>
      <c r="B410" s="2" t="s">
        <v>198</v>
      </c>
      <c r="C410" s="2" t="s">
        <v>47</v>
      </c>
      <c r="D410" s="2" t="s">
        <v>40</v>
      </c>
      <c r="E410" s="2" t="s">
        <v>93</v>
      </c>
      <c r="F410" s="2" t="s">
        <v>119</v>
      </c>
      <c r="G410" s="2">
        <v>17</v>
      </c>
      <c r="H410" s="2">
        <v>800</v>
      </c>
      <c r="I410" s="2">
        <v>25</v>
      </c>
      <c r="J410" s="2">
        <v>10200</v>
      </c>
      <c r="K410" s="2">
        <v>600</v>
      </c>
      <c r="L410" s="2">
        <v>10200</v>
      </c>
      <c r="M410" s="2">
        <v>0</v>
      </c>
      <c r="N410" s="2" t="s">
        <v>22</v>
      </c>
      <c r="O410" s="2" t="s">
        <v>55</v>
      </c>
      <c r="P410" s="2" t="s">
        <v>44</v>
      </c>
    </row>
    <row r="411" spans="1:16" x14ac:dyDescent="0.25">
      <c r="A411" s="3" t="s">
        <v>720</v>
      </c>
      <c r="B411" s="3" t="s">
        <v>175</v>
      </c>
      <c r="C411" s="3" t="s">
        <v>122</v>
      </c>
      <c r="D411" s="3" t="s">
        <v>64</v>
      </c>
      <c r="E411" s="3" t="s">
        <v>53</v>
      </c>
      <c r="F411" s="3" t="s">
        <v>54</v>
      </c>
      <c r="G411" s="3">
        <v>9</v>
      </c>
      <c r="H411" s="3">
        <v>2000</v>
      </c>
      <c r="I411" s="3">
        <v>20</v>
      </c>
      <c r="J411" s="3">
        <v>14400</v>
      </c>
      <c r="K411" s="3">
        <v>1200</v>
      </c>
      <c r="L411" s="3">
        <v>10800</v>
      </c>
      <c r="M411" s="3">
        <v>3600</v>
      </c>
      <c r="N411" s="3" t="s">
        <v>22</v>
      </c>
      <c r="O411" s="3" t="s">
        <v>55</v>
      </c>
      <c r="P411" s="3" t="s">
        <v>24</v>
      </c>
    </row>
    <row r="412" spans="1:16" x14ac:dyDescent="0.25">
      <c r="A412" s="2" t="s">
        <v>721</v>
      </c>
      <c r="B412" s="2" t="s">
        <v>223</v>
      </c>
      <c r="C412" s="2" t="s">
        <v>92</v>
      </c>
      <c r="D412" s="2" t="s">
        <v>19</v>
      </c>
      <c r="E412" s="2" t="s">
        <v>53</v>
      </c>
      <c r="F412" s="2" t="s">
        <v>71</v>
      </c>
      <c r="G412" s="2">
        <v>7</v>
      </c>
      <c r="H412" s="2">
        <v>8000</v>
      </c>
      <c r="I412" s="2">
        <v>25</v>
      </c>
      <c r="J412" s="2">
        <v>42000</v>
      </c>
      <c r="K412" s="2">
        <v>5000</v>
      </c>
      <c r="L412" s="2">
        <v>35000</v>
      </c>
      <c r="M412" s="2">
        <v>7000</v>
      </c>
      <c r="N412" s="2" t="s">
        <v>42</v>
      </c>
      <c r="O412" s="2" t="s">
        <v>55</v>
      </c>
      <c r="P412" s="2" t="s">
        <v>44</v>
      </c>
    </row>
    <row r="413" spans="1:16" x14ac:dyDescent="0.25">
      <c r="A413" s="3" t="s">
        <v>722</v>
      </c>
      <c r="B413" s="3" t="s">
        <v>723</v>
      </c>
      <c r="C413" s="3" t="s">
        <v>18</v>
      </c>
      <c r="D413" s="3" t="s">
        <v>159</v>
      </c>
      <c r="E413" s="3" t="s">
        <v>53</v>
      </c>
      <c r="F413" s="3" t="s">
        <v>71</v>
      </c>
      <c r="G413" s="3">
        <v>5</v>
      </c>
      <c r="H413" s="3">
        <v>8000</v>
      </c>
      <c r="I413" s="3">
        <v>0</v>
      </c>
      <c r="J413" s="3">
        <v>40000</v>
      </c>
      <c r="K413" s="3">
        <v>5000</v>
      </c>
      <c r="L413" s="3">
        <v>25000</v>
      </c>
      <c r="M413" s="3">
        <v>15000</v>
      </c>
      <c r="N413" s="3" t="s">
        <v>22</v>
      </c>
      <c r="O413" s="3" t="s">
        <v>23</v>
      </c>
      <c r="P413" s="3" t="s">
        <v>24</v>
      </c>
    </row>
    <row r="414" spans="1:16" x14ac:dyDescent="0.25">
      <c r="A414" s="2" t="s">
        <v>724</v>
      </c>
      <c r="B414" s="2" t="s">
        <v>725</v>
      </c>
      <c r="C414" s="2" t="s">
        <v>33</v>
      </c>
      <c r="D414" s="2" t="s">
        <v>74</v>
      </c>
      <c r="E414" s="2" t="s">
        <v>20</v>
      </c>
      <c r="F414" s="2" t="s">
        <v>182</v>
      </c>
      <c r="G414" s="2">
        <v>15</v>
      </c>
      <c r="H414" s="2">
        <v>5000</v>
      </c>
      <c r="I414" s="2">
        <v>0</v>
      </c>
      <c r="J414" s="2">
        <v>75000</v>
      </c>
      <c r="K414" s="2">
        <v>3000</v>
      </c>
      <c r="L414" s="2">
        <v>45000</v>
      </c>
      <c r="M414" s="2">
        <v>30000</v>
      </c>
      <c r="N414" s="2" t="s">
        <v>22</v>
      </c>
      <c r="O414" s="2" t="s">
        <v>36</v>
      </c>
      <c r="P414" s="2" t="s">
        <v>86</v>
      </c>
    </row>
    <row r="415" spans="1:16" x14ac:dyDescent="0.25">
      <c r="A415" s="3" t="s">
        <v>726</v>
      </c>
      <c r="B415" s="3" t="s">
        <v>485</v>
      </c>
      <c r="C415" s="3" t="s">
        <v>100</v>
      </c>
      <c r="D415" s="3" t="s">
        <v>52</v>
      </c>
      <c r="E415" s="3" t="s">
        <v>93</v>
      </c>
      <c r="F415" s="3" t="s">
        <v>119</v>
      </c>
      <c r="G415" s="3">
        <v>4</v>
      </c>
      <c r="H415" s="3">
        <v>800</v>
      </c>
      <c r="I415" s="3">
        <v>0</v>
      </c>
      <c r="J415" s="3">
        <v>3200</v>
      </c>
      <c r="K415" s="3">
        <v>600</v>
      </c>
      <c r="L415" s="3">
        <v>2400</v>
      </c>
      <c r="M415" s="3">
        <v>800</v>
      </c>
      <c r="N415" s="3" t="s">
        <v>22</v>
      </c>
      <c r="O415" s="3" t="s">
        <v>36</v>
      </c>
      <c r="P415" s="3" t="s">
        <v>24</v>
      </c>
    </row>
    <row r="416" spans="1:16" x14ac:dyDescent="0.25">
      <c r="A416" s="2" t="s">
        <v>727</v>
      </c>
      <c r="B416" s="2" t="s">
        <v>728</v>
      </c>
      <c r="C416" s="2" t="s">
        <v>100</v>
      </c>
      <c r="D416" s="2" t="s">
        <v>52</v>
      </c>
      <c r="E416" s="2" t="s">
        <v>93</v>
      </c>
      <c r="F416" s="2" t="s">
        <v>94</v>
      </c>
      <c r="G416" s="2">
        <v>9</v>
      </c>
      <c r="H416" s="2">
        <v>1200</v>
      </c>
      <c r="I416" s="2">
        <v>25</v>
      </c>
      <c r="J416" s="2">
        <v>8100</v>
      </c>
      <c r="K416" s="2">
        <v>900</v>
      </c>
      <c r="L416" s="2">
        <v>8100</v>
      </c>
      <c r="M416" s="2">
        <v>0</v>
      </c>
      <c r="N416" s="2" t="s">
        <v>22</v>
      </c>
      <c r="O416" s="2" t="s">
        <v>55</v>
      </c>
      <c r="P416" s="2" t="s">
        <v>86</v>
      </c>
    </row>
    <row r="417" spans="1:16" x14ac:dyDescent="0.25">
      <c r="A417" s="3" t="s">
        <v>729</v>
      </c>
      <c r="B417" s="3" t="s">
        <v>700</v>
      </c>
      <c r="C417" s="3" t="s">
        <v>18</v>
      </c>
      <c r="D417" s="3" t="s">
        <v>27</v>
      </c>
      <c r="E417" s="3" t="s">
        <v>93</v>
      </c>
      <c r="F417" s="3" t="s">
        <v>109</v>
      </c>
      <c r="G417" s="3">
        <v>9</v>
      </c>
      <c r="H417" s="3">
        <v>700</v>
      </c>
      <c r="I417" s="3">
        <v>15</v>
      </c>
      <c r="J417" s="3">
        <v>5355</v>
      </c>
      <c r="K417" s="3">
        <v>500</v>
      </c>
      <c r="L417" s="3">
        <v>4500</v>
      </c>
      <c r="M417" s="3">
        <v>855</v>
      </c>
      <c r="N417" s="3" t="s">
        <v>42</v>
      </c>
      <c r="O417" s="3" t="s">
        <v>66</v>
      </c>
      <c r="P417" s="3" t="s">
        <v>24</v>
      </c>
    </row>
    <row r="418" spans="1:16" x14ac:dyDescent="0.25">
      <c r="A418" s="2" t="s">
        <v>730</v>
      </c>
      <c r="B418" s="2" t="s">
        <v>731</v>
      </c>
      <c r="C418" s="2" t="s">
        <v>18</v>
      </c>
      <c r="D418" s="2" t="s">
        <v>40</v>
      </c>
      <c r="E418" s="2" t="s">
        <v>28</v>
      </c>
      <c r="F418" s="2" t="s">
        <v>116</v>
      </c>
      <c r="G418" s="2">
        <v>4</v>
      </c>
      <c r="H418" s="2">
        <v>85000</v>
      </c>
      <c r="I418" s="2">
        <v>15</v>
      </c>
      <c r="J418" s="2">
        <v>289000</v>
      </c>
      <c r="K418" s="2">
        <v>65000</v>
      </c>
      <c r="L418" s="2">
        <v>260000</v>
      </c>
      <c r="M418" s="2">
        <v>29000</v>
      </c>
      <c r="N418" s="2" t="s">
        <v>42</v>
      </c>
      <c r="O418" s="2" t="s">
        <v>30</v>
      </c>
      <c r="P418" s="2" t="s">
        <v>24</v>
      </c>
    </row>
    <row r="419" spans="1:16" x14ac:dyDescent="0.25">
      <c r="A419" s="3" t="s">
        <v>732</v>
      </c>
      <c r="B419" s="3" t="s">
        <v>705</v>
      </c>
      <c r="C419" s="3" t="s">
        <v>47</v>
      </c>
      <c r="D419" s="3" t="s">
        <v>27</v>
      </c>
      <c r="E419" s="3" t="s">
        <v>20</v>
      </c>
      <c r="F419" s="3" t="s">
        <v>137</v>
      </c>
      <c r="G419" s="3">
        <v>1</v>
      </c>
      <c r="H419" s="3">
        <v>15000</v>
      </c>
      <c r="I419" s="3">
        <v>25</v>
      </c>
      <c r="J419" s="3">
        <v>11250</v>
      </c>
      <c r="K419" s="3">
        <v>10000</v>
      </c>
      <c r="L419" s="3">
        <v>10000</v>
      </c>
      <c r="M419" s="3">
        <v>1250</v>
      </c>
      <c r="N419" s="3" t="s">
        <v>22</v>
      </c>
      <c r="O419" s="3" t="s">
        <v>66</v>
      </c>
      <c r="P419" s="3" t="s">
        <v>95</v>
      </c>
    </row>
    <row r="420" spans="1:16" x14ac:dyDescent="0.25">
      <c r="A420" s="2" t="s">
        <v>733</v>
      </c>
      <c r="B420" s="2" t="s">
        <v>734</v>
      </c>
      <c r="C420" s="2" t="s">
        <v>77</v>
      </c>
      <c r="D420" s="2" t="s">
        <v>74</v>
      </c>
      <c r="E420" s="2" t="s">
        <v>28</v>
      </c>
      <c r="F420" s="2" t="s">
        <v>29</v>
      </c>
      <c r="G420" s="2">
        <v>9</v>
      </c>
      <c r="H420" s="2">
        <v>25000</v>
      </c>
      <c r="I420" s="2">
        <v>25</v>
      </c>
      <c r="J420" s="2">
        <v>168750</v>
      </c>
      <c r="K420" s="2">
        <v>18000</v>
      </c>
      <c r="L420" s="2">
        <v>162000</v>
      </c>
      <c r="M420" s="2">
        <v>6750</v>
      </c>
      <c r="N420" s="2" t="s">
        <v>42</v>
      </c>
      <c r="O420" s="2" t="s">
        <v>43</v>
      </c>
      <c r="P420" s="2" t="s">
        <v>24</v>
      </c>
    </row>
    <row r="421" spans="1:16" x14ac:dyDescent="0.25">
      <c r="A421" s="3" t="s">
        <v>735</v>
      </c>
      <c r="B421" s="3" t="s">
        <v>736</v>
      </c>
      <c r="C421" s="3" t="s">
        <v>63</v>
      </c>
      <c r="D421" s="3" t="s">
        <v>64</v>
      </c>
      <c r="E421" s="3" t="s">
        <v>20</v>
      </c>
      <c r="F421" s="3" t="s">
        <v>137</v>
      </c>
      <c r="G421" s="3">
        <v>17</v>
      </c>
      <c r="H421" s="3">
        <v>15000</v>
      </c>
      <c r="I421" s="3">
        <v>25</v>
      </c>
      <c r="J421" s="3">
        <v>191250</v>
      </c>
      <c r="K421" s="3">
        <v>10000</v>
      </c>
      <c r="L421" s="3">
        <v>170000</v>
      </c>
      <c r="M421" s="3">
        <v>21250</v>
      </c>
      <c r="N421" s="3" t="s">
        <v>22</v>
      </c>
      <c r="O421" s="3" t="s">
        <v>66</v>
      </c>
      <c r="P421" s="3" t="s">
        <v>24</v>
      </c>
    </row>
    <row r="422" spans="1:16" x14ac:dyDescent="0.25">
      <c r="A422" s="2" t="s">
        <v>737</v>
      </c>
      <c r="B422" s="2" t="s">
        <v>150</v>
      </c>
      <c r="C422" s="2" t="s">
        <v>122</v>
      </c>
      <c r="D422" s="2" t="s">
        <v>52</v>
      </c>
      <c r="E422" s="2" t="s">
        <v>93</v>
      </c>
      <c r="F422" s="2" t="s">
        <v>188</v>
      </c>
      <c r="G422" s="2">
        <v>18</v>
      </c>
      <c r="H422" s="2">
        <v>1500</v>
      </c>
      <c r="I422" s="2">
        <v>20</v>
      </c>
      <c r="J422" s="2">
        <v>21600</v>
      </c>
      <c r="K422" s="2">
        <v>1100</v>
      </c>
      <c r="L422" s="2">
        <v>19800</v>
      </c>
      <c r="M422" s="2">
        <v>1800</v>
      </c>
      <c r="N422" s="2" t="s">
        <v>22</v>
      </c>
      <c r="O422" s="2" t="s">
        <v>43</v>
      </c>
      <c r="P422" s="2" t="s">
        <v>24</v>
      </c>
    </row>
    <row r="423" spans="1:16" x14ac:dyDescent="0.25">
      <c r="A423" s="3" t="s">
        <v>738</v>
      </c>
      <c r="B423" s="3" t="s">
        <v>232</v>
      </c>
      <c r="C423" s="3" t="s">
        <v>63</v>
      </c>
      <c r="D423" s="3" t="s">
        <v>74</v>
      </c>
      <c r="E423" s="3" t="s">
        <v>93</v>
      </c>
      <c r="F423" s="3" t="s">
        <v>188</v>
      </c>
      <c r="G423" s="3">
        <v>3</v>
      </c>
      <c r="H423" s="3">
        <v>1500</v>
      </c>
      <c r="I423" s="3">
        <v>15</v>
      </c>
      <c r="J423" s="3">
        <v>3825</v>
      </c>
      <c r="K423" s="3">
        <v>1100</v>
      </c>
      <c r="L423" s="3">
        <v>3300</v>
      </c>
      <c r="M423" s="3">
        <v>525</v>
      </c>
      <c r="N423" s="3" t="s">
        <v>42</v>
      </c>
      <c r="O423" s="3" t="s">
        <v>36</v>
      </c>
      <c r="P423" s="3" t="s">
        <v>44</v>
      </c>
    </row>
    <row r="424" spans="1:16" x14ac:dyDescent="0.25">
      <c r="A424" s="2" t="s">
        <v>739</v>
      </c>
      <c r="B424" s="2" t="s">
        <v>321</v>
      </c>
      <c r="C424" s="2" t="s">
        <v>104</v>
      </c>
      <c r="D424" s="2" t="s">
        <v>64</v>
      </c>
      <c r="E424" s="2" t="s">
        <v>53</v>
      </c>
      <c r="F424" s="2" t="s">
        <v>71</v>
      </c>
      <c r="G424" s="2">
        <v>13</v>
      </c>
      <c r="H424" s="2">
        <v>8000</v>
      </c>
      <c r="I424" s="2">
        <v>5</v>
      </c>
      <c r="J424" s="2">
        <v>98800</v>
      </c>
      <c r="K424" s="2">
        <v>5000</v>
      </c>
      <c r="L424" s="2">
        <v>65000</v>
      </c>
      <c r="M424" s="2">
        <v>33800</v>
      </c>
      <c r="N424" s="2" t="s">
        <v>22</v>
      </c>
      <c r="O424" s="2" t="s">
        <v>66</v>
      </c>
      <c r="P424" s="2" t="s">
        <v>44</v>
      </c>
    </row>
    <row r="425" spans="1:16" x14ac:dyDescent="0.25">
      <c r="A425" s="3" t="s">
        <v>740</v>
      </c>
      <c r="B425" s="3" t="s">
        <v>741</v>
      </c>
      <c r="C425" s="3" t="s">
        <v>122</v>
      </c>
      <c r="D425" s="3" t="s">
        <v>159</v>
      </c>
      <c r="E425" s="3" t="s">
        <v>93</v>
      </c>
      <c r="F425" s="3" t="s">
        <v>109</v>
      </c>
      <c r="G425" s="3">
        <v>11</v>
      </c>
      <c r="H425" s="3">
        <v>700</v>
      </c>
      <c r="I425" s="3">
        <v>0</v>
      </c>
      <c r="J425" s="3">
        <v>7700</v>
      </c>
      <c r="K425" s="3">
        <v>500</v>
      </c>
      <c r="L425" s="3">
        <v>5500</v>
      </c>
      <c r="M425" s="3">
        <v>2200</v>
      </c>
      <c r="N425" s="3" t="s">
        <v>42</v>
      </c>
      <c r="O425" s="3" t="s">
        <v>23</v>
      </c>
      <c r="P425" s="3" t="s">
        <v>24</v>
      </c>
    </row>
    <row r="426" spans="1:16" x14ac:dyDescent="0.25">
      <c r="A426" s="2" t="s">
        <v>742</v>
      </c>
      <c r="B426" s="2" t="s">
        <v>391</v>
      </c>
      <c r="C426" s="2" t="s">
        <v>77</v>
      </c>
      <c r="D426" s="2" t="s">
        <v>27</v>
      </c>
      <c r="E426" s="2" t="s">
        <v>28</v>
      </c>
      <c r="F426" s="2" t="s">
        <v>127</v>
      </c>
      <c r="G426" s="2">
        <v>18</v>
      </c>
      <c r="H426" s="2">
        <v>15000</v>
      </c>
      <c r="I426" s="2">
        <v>0</v>
      </c>
      <c r="J426" s="2">
        <v>270000</v>
      </c>
      <c r="K426" s="2">
        <v>10000</v>
      </c>
      <c r="L426" s="2">
        <v>180000</v>
      </c>
      <c r="M426" s="2">
        <v>90000</v>
      </c>
      <c r="N426" s="2" t="s">
        <v>22</v>
      </c>
      <c r="O426" s="2" t="s">
        <v>30</v>
      </c>
      <c r="P426" s="2" t="s">
        <v>95</v>
      </c>
    </row>
    <row r="427" spans="1:16" x14ac:dyDescent="0.25">
      <c r="A427" s="3" t="s">
        <v>743</v>
      </c>
      <c r="B427" s="3" t="s">
        <v>744</v>
      </c>
      <c r="C427" s="3" t="s">
        <v>39</v>
      </c>
      <c r="D427" s="3" t="s">
        <v>64</v>
      </c>
      <c r="E427" s="3" t="s">
        <v>93</v>
      </c>
      <c r="F427" s="3" t="s">
        <v>98</v>
      </c>
      <c r="G427" s="3">
        <v>12</v>
      </c>
      <c r="H427" s="3">
        <v>400</v>
      </c>
      <c r="I427" s="3">
        <v>0</v>
      </c>
      <c r="J427" s="3">
        <v>4800</v>
      </c>
      <c r="K427" s="3">
        <v>280</v>
      </c>
      <c r="L427" s="3">
        <v>3360</v>
      </c>
      <c r="M427" s="3">
        <v>1440</v>
      </c>
      <c r="N427" s="3" t="s">
        <v>22</v>
      </c>
      <c r="O427" s="3" t="s">
        <v>66</v>
      </c>
      <c r="P427" s="3" t="s">
        <v>44</v>
      </c>
    </row>
    <row r="428" spans="1:16" x14ac:dyDescent="0.25">
      <c r="A428" s="2" t="s">
        <v>745</v>
      </c>
      <c r="B428" s="2" t="s">
        <v>533</v>
      </c>
      <c r="C428" s="2" t="s">
        <v>47</v>
      </c>
      <c r="D428" s="2" t="s">
        <v>74</v>
      </c>
      <c r="E428" s="2" t="s">
        <v>20</v>
      </c>
      <c r="F428" s="2" t="s">
        <v>59</v>
      </c>
      <c r="G428" s="2">
        <v>4</v>
      </c>
      <c r="H428" s="2">
        <v>12000</v>
      </c>
      <c r="I428" s="2">
        <v>0</v>
      </c>
      <c r="J428" s="2">
        <v>48000</v>
      </c>
      <c r="K428" s="2">
        <v>8000</v>
      </c>
      <c r="L428" s="2">
        <v>32000</v>
      </c>
      <c r="M428" s="2">
        <v>16000</v>
      </c>
      <c r="N428" s="2" t="s">
        <v>22</v>
      </c>
      <c r="O428" s="2" t="s">
        <v>43</v>
      </c>
      <c r="P428" s="2" t="s">
        <v>44</v>
      </c>
    </row>
    <row r="429" spans="1:16" x14ac:dyDescent="0.25">
      <c r="A429" s="3" t="s">
        <v>746</v>
      </c>
      <c r="B429" s="3" t="s">
        <v>311</v>
      </c>
      <c r="C429" s="3" t="s">
        <v>39</v>
      </c>
      <c r="D429" s="3" t="s">
        <v>52</v>
      </c>
      <c r="E429" s="3" t="s">
        <v>28</v>
      </c>
      <c r="F429" s="3" t="s">
        <v>29</v>
      </c>
      <c r="G429" s="3">
        <v>6</v>
      </c>
      <c r="H429" s="3">
        <v>25000</v>
      </c>
      <c r="I429" s="3">
        <v>15</v>
      </c>
      <c r="J429" s="3">
        <v>127500</v>
      </c>
      <c r="K429" s="3">
        <v>18000</v>
      </c>
      <c r="L429" s="3">
        <v>108000</v>
      </c>
      <c r="M429" s="3">
        <v>19500</v>
      </c>
      <c r="N429" s="3" t="s">
        <v>22</v>
      </c>
      <c r="O429" s="3" t="s">
        <v>23</v>
      </c>
      <c r="P429" s="3" t="s">
        <v>24</v>
      </c>
    </row>
    <row r="430" spans="1:16" x14ac:dyDescent="0.25">
      <c r="A430" s="2" t="s">
        <v>747</v>
      </c>
      <c r="B430" s="2" t="s">
        <v>267</v>
      </c>
      <c r="C430" s="2" t="s">
        <v>18</v>
      </c>
      <c r="D430" s="2" t="s">
        <v>48</v>
      </c>
      <c r="E430" s="2" t="s">
        <v>53</v>
      </c>
      <c r="F430" s="2" t="s">
        <v>54</v>
      </c>
      <c r="G430" s="2">
        <v>7</v>
      </c>
      <c r="H430" s="2">
        <v>2000</v>
      </c>
      <c r="I430" s="2">
        <v>0</v>
      </c>
      <c r="J430" s="2">
        <v>14000</v>
      </c>
      <c r="K430" s="2">
        <v>1200</v>
      </c>
      <c r="L430" s="2">
        <v>8400</v>
      </c>
      <c r="M430" s="2">
        <v>5600</v>
      </c>
      <c r="N430" s="2" t="s">
        <v>42</v>
      </c>
      <c r="O430" s="2" t="s">
        <v>36</v>
      </c>
      <c r="P430" s="2" t="s">
        <v>44</v>
      </c>
    </row>
    <row r="431" spans="1:16" x14ac:dyDescent="0.25">
      <c r="A431" s="3" t="s">
        <v>748</v>
      </c>
      <c r="B431" s="3" t="s">
        <v>749</v>
      </c>
      <c r="C431" s="3" t="s">
        <v>100</v>
      </c>
      <c r="D431" s="3" t="s">
        <v>159</v>
      </c>
      <c r="E431" s="3" t="s">
        <v>93</v>
      </c>
      <c r="F431" s="3" t="s">
        <v>119</v>
      </c>
      <c r="G431" s="3">
        <v>19</v>
      </c>
      <c r="H431" s="3">
        <v>800</v>
      </c>
      <c r="I431" s="3">
        <v>0</v>
      </c>
      <c r="J431" s="3">
        <v>15200</v>
      </c>
      <c r="K431" s="3">
        <v>600</v>
      </c>
      <c r="L431" s="3">
        <v>11400</v>
      </c>
      <c r="M431" s="3">
        <v>3800</v>
      </c>
      <c r="N431" s="3" t="s">
        <v>42</v>
      </c>
      <c r="O431" s="3" t="s">
        <v>66</v>
      </c>
      <c r="P431" s="3" t="s">
        <v>24</v>
      </c>
    </row>
    <row r="432" spans="1:16" x14ac:dyDescent="0.25">
      <c r="A432" s="2" t="s">
        <v>750</v>
      </c>
      <c r="B432" s="2" t="s">
        <v>751</v>
      </c>
      <c r="C432" s="2" t="s">
        <v>92</v>
      </c>
      <c r="D432" s="2" t="s">
        <v>74</v>
      </c>
      <c r="E432" s="2" t="s">
        <v>28</v>
      </c>
      <c r="F432" s="2" t="s">
        <v>127</v>
      </c>
      <c r="G432" s="2">
        <v>2</v>
      </c>
      <c r="H432" s="2">
        <v>15000</v>
      </c>
      <c r="I432" s="2">
        <v>20</v>
      </c>
      <c r="J432" s="2">
        <v>24000</v>
      </c>
      <c r="K432" s="2">
        <v>10000</v>
      </c>
      <c r="L432" s="2">
        <v>20000</v>
      </c>
      <c r="M432" s="2">
        <v>4000</v>
      </c>
      <c r="N432" s="2" t="s">
        <v>42</v>
      </c>
      <c r="O432" s="2" t="s">
        <v>30</v>
      </c>
      <c r="P432" s="2" t="s">
        <v>44</v>
      </c>
    </row>
    <row r="433" spans="1:16" x14ac:dyDescent="0.25">
      <c r="A433" s="3" t="s">
        <v>752</v>
      </c>
      <c r="B433" s="3" t="s">
        <v>258</v>
      </c>
      <c r="C433" s="3" t="s">
        <v>92</v>
      </c>
      <c r="D433" s="3" t="s">
        <v>40</v>
      </c>
      <c r="E433" s="3" t="s">
        <v>34</v>
      </c>
      <c r="F433" s="3" t="s">
        <v>196</v>
      </c>
      <c r="G433" s="3">
        <v>13</v>
      </c>
      <c r="H433" s="3">
        <v>2500</v>
      </c>
      <c r="I433" s="3">
        <v>25</v>
      </c>
      <c r="J433" s="3">
        <v>24375</v>
      </c>
      <c r="K433" s="3">
        <v>1200</v>
      </c>
      <c r="L433" s="3">
        <v>15600</v>
      </c>
      <c r="M433" s="3">
        <v>8775</v>
      </c>
      <c r="N433" s="3" t="s">
        <v>42</v>
      </c>
      <c r="O433" s="3" t="s">
        <v>30</v>
      </c>
      <c r="P433" s="3" t="s">
        <v>86</v>
      </c>
    </row>
    <row r="434" spans="1:16" x14ac:dyDescent="0.25">
      <c r="A434" s="2" t="s">
        <v>753</v>
      </c>
      <c r="B434" s="2" t="s">
        <v>187</v>
      </c>
      <c r="C434" s="2" t="s">
        <v>47</v>
      </c>
      <c r="D434" s="2" t="s">
        <v>64</v>
      </c>
      <c r="E434" s="2" t="s">
        <v>20</v>
      </c>
      <c r="F434" s="2" t="s">
        <v>59</v>
      </c>
      <c r="G434" s="2">
        <v>11</v>
      </c>
      <c r="H434" s="2">
        <v>12000</v>
      </c>
      <c r="I434" s="2">
        <v>10</v>
      </c>
      <c r="J434" s="2">
        <v>118800</v>
      </c>
      <c r="K434" s="2">
        <v>8000</v>
      </c>
      <c r="L434" s="2">
        <v>88000</v>
      </c>
      <c r="M434" s="2">
        <v>30800</v>
      </c>
      <c r="N434" s="2" t="s">
        <v>42</v>
      </c>
      <c r="O434" s="2" t="s">
        <v>36</v>
      </c>
      <c r="P434" s="2" t="s">
        <v>44</v>
      </c>
    </row>
    <row r="435" spans="1:16" x14ac:dyDescent="0.25">
      <c r="A435" s="3" t="s">
        <v>754</v>
      </c>
      <c r="B435" s="3" t="s">
        <v>755</v>
      </c>
      <c r="C435" s="3" t="s">
        <v>63</v>
      </c>
      <c r="D435" s="3" t="s">
        <v>48</v>
      </c>
      <c r="E435" s="3" t="s">
        <v>53</v>
      </c>
      <c r="F435" s="3" t="s">
        <v>85</v>
      </c>
      <c r="G435" s="3">
        <v>18</v>
      </c>
      <c r="H435" s="3">
        <v>1500</v>
      </c>
      <c r="I435" s="3">
        <v>25</v>
      </c>
      <c r="J435" s="3">
        <v>20250</v>
      </c>
      <c r="K435" s="3">
        <v>800</v>
      </c>
      <c r="L435" s="3">
        <v>14400</v>
      </c>
      <c r="M435" s="3">
        <v>5850</v>
      </c>
      <c r="N435" s="3" t="s">
        <v>22</v>
      </c>
      <c r="O435" s="3" t="s">
        <v>36</v>
      </c>
      <c r="P435" s="3" t="s">
        <v>44</v>
      </c>
    </row>
    <row r="436" spans="1:16" x14ac:dyDescent="0.25">
      <c r="A436" s="2" t="s">
        <v>756</v>
      </c>
      <c r="B436" s="2" t="s">
        <v>485</v>
      </c>
      <c r="C436" s="2" t="s">
        <v>100</v>
      </c>
      <c r="D436" s="2" t="s">
        <v>40</v>
      </c>
      <c r="E436" s="2" t="s">
        <v>34</v>
      </c>
      <c r="F436" s="2" t="s">
        <v>89</v>
      </c>
      <c r="G436" s="2">
        <v>18</v>
      </c>
      <c r="H436" s="2">
        <v>4500</v>
      </c>
      <c r="I436" s="2">
        <v>25</v>
      </c>
      <c r="J436" s="2">
        <v>60750</v>
      </c>
      <c r="K436" s="2">
        <v>2500</v>
      </c>
      <c r="L436" s="2">
        <v>45000</v>
      </c>
      <c r="M436" s="2">
        <v>15750</v>
      </c>
      <c r="N436" s="2" t="s">
        <v>42</v>
      </c>
      <c r="O436" s="2" t="s">
        <v>23</v>
      </c>
      <c r="P436" s="2" t="s">
        <v>44</v>
      </c>
    </row>
    <row r="437" spans="1:16" x14ac:dyDescent="0.25">
      <c r="A437" s="3" t="s">
        <v>757</v>
      </c>
      <c r="B437" s="3" t="s">
        <v>219</v>
      </c>
      <c r="C437" s="3" t="s">
        <v>63</v>
      </c>
      <c r="D437" s="3" t="s">
        <v>74</v>
      </c>
      <c r="E437" s="3" t="s">
        <v>53</v>
      </c>
      <c r="F437" s="3" t="s">
        <v>101</v>
      </c>
      <c r="G437" s="3">
        <v>14</v>
      </c>
      <c r="H437" s="3">
        <v>1200</v>
      </c>
      <c r="I437" s="3">
        <v>25</v>
      </c>
      <c r="J437" s="3">
        <v>12600</v>
      </c>
      <c r="K437" s="3">
        <v>700</v>
      </c>
      <c r="L437" s="3">
        <v>9800</v>
      </c>
      <c r="M437" s="3">
        <v>2800</v>
      </c>
      <c r="N437" s="3" t="s">
        <v>42</v>
      </c>
      <c r="O437" s="3" t="s">
        <v>66</v>
      </c>
      <c r="P437" s="3" t="s">
        <v>86</v>
      </c>
    </row>
    <row r="438" spans="1:16" x14ac:dyDescent="0.25">
      <c r="A438" s="2" t="s">
        <v>758</v>
      </c>
      <c r="B438" s="2" t="s">
        <v>759</v>
      </c>
      <c r="C438" s="2" t="s">
        <v>18</v>
      </c>
      <c r="D438" s="2" t="s">
        <v>19</v>
      </c>
      <c r="E438" s="2" t="s">
        <v>93</v>
      </c>
      <c r="F438" s="2" t="s">
        <v>188</v>
      </c>
      <c r="G438" s="2">
        <v>2</v>
      </c>
      <c r="H438" s="2">
        <v>1500</v>
      </c>
      <c r="I438" s="2">
        <v>25</v>
      </c>
      <c r="J438" s="2">
        <v>2250</v>
      </c>
      <c r="K438" s="2">
        <v>1100</v>
      </c>
      <c r="L438" s="2">
        <v>2200</v>
      </c>
      <c r="M438" s="2">
        <v>50</v>
      </c>
      <c r="N438" s="2" t="s">
        <v>22</v>
      </c>
      <c r="O438" s="2" t="s">
        <v>36</v>
      </c>
      <c r="P438" s="2" t="s">
        <v>44</v>
      </c>
    </row>
    <row r="439" spans="1:16" x14ac:dyDescent="0.25">
      <c r="A439" s="3" t="s">
        <v>760</v>
      </c>
      <c r="B439" s="3" t="s">
        <v>84</v>
      </c>
      <c r="C439" s="3" t="s">
        <v>39</v>
      </c>
      <c r="D439" s="3" t="s">
        <v>48</v>
      </c>
      <c r="E439" s="3" t="s">
        <v>34</v>
      </c>
      <c r="F439" s="3" t="s">
        <v>196</v>
      </c>
      <c r="G439" s="3">
        <v>10</v>
      </c>
      <c r="H439" s="3">
        <v>2500</v>
      </c>
      <c r="I439" s="3">
        <v>5</v>
      </c>
      <c r="J439" s="3">
        <v>23750</v>
      </c>
      <c r="K439" s="3">
        <v>1200</v>
      </c>
      <c r="L439" s="3">
        <v>12000</v>
      </c>
      <c r="M439" s="3">
        <v>11750</v>
      </c>
      <c r="N439" s="3" t="s">
        <v>22</v>
      </c>
      <c r="O439" s="3" t="s">
        <v>55</v>
      </c>
      <c r="P439" s="3" t="s">
        <v>86</v>
      </c>
    </row>
    <row r="440" spans="1:16" x14ac:dyDescent="0.25">
      <c r="A440" s="2" t="s">
        <v>761</v>
      </c>
      <c r="B440" s="2" t="s">
        <v>391</v>
      </c>
      <c r="C440" s="2" t="s">
        <v>47</v>
      </c>
      <c r="D440" s="2" t="s">
        <v>64</v>
      </c>
      <c r="E440" s="2" t="s">
        <v>53</v>
      </c>
      <c r="F440" s="2" t="s">
        <v>71</v>
      </c>
      <c r="G440" s="2">
        <v>8</v>
      </c>
      <c r="H440" s="2">
        <v>8000</v>
      </c>
      <c r="I440" s="2">
        <v>20</v>
      </c>
      <c r="J440" s="2">
        <v>51200</v>
      </c>
      <c r="K440" s="2">
        <v>5000</v>
      </c>
      <c r="L440" s="2">
        <v>40000</v>
      </c>
      <c r="M440" s="2">
        <v>11200</v>
      </c>
      <c r="N440" s="2" t="s">
        <v>42</v>
      </c>
      <c r="O440" s="2" t="s">
        <v>23</v>
      </c>
      <c r="P440" s="2" t="s">
        <v>24</v>
      </c>
    </row>
    <row r="441" spans="1:16" x14ac:dyDescent="0.25">
      <c r="A441" s="3" t="s">
        <v>762</v>
      </c>
      <c r="B441" s="3" t="s">
        <v>368</v>
      </c>
      <c r="C441" s="3" t="s">
        <v>77</v>
      </c>
      <c r="D441" s="3" t="s">
        <v>27</v>
      </c>
      <c r="E441" s="3" t="s">
        <v>20</v>
      </c>
      <c r="F441" s="3" t="s">
        <v>137</v>
      </c>
      <c r="G441" s="3">
        <v>2</v>
      </c>
      <c r="H441" s="3">
        <v>15000</v>
      </c>
      <c r="I441" s="3">
        <v>0</v>
      </c>
      <c r="J441" s="3">
        <v>30000</v>
      </c>
      <c r="K441" s="3">
        <v>10000</v>
      </c>
      <c r="L441" s="3">
        <v>20000</v>
      </c>
      <c r="M441" s="3">
        <v>10000</v>
      </c>
      <c r="N441" s="3" t="s">
        <v>42</v>
      </c>
      <c r="O441" s="3" t="s">
        <v>36</v>
      </c>
      <c r="P441" s="3" t="s">
        <v>24</v>
      </c>
    </row>
    <row r="442" spans="1:16" x14ac:dyDescent="0.25">
      <c r="A442" s="2" t="s">
        <v>763</v>
      </c>
      <c r="B442" s="2" t="s">
        <v>680</v>
      </c>
      <c r="C442" s="2" t="s">
        <v>33</v>
      </c>
      <c r="D442" s="2" t="s">
        <v>52</v>
      </c>
      <c r="E442" s="2" t="s">
        <v>53</v>
      </c>
      <c r="F442" s="2" t="s">
        <v>101</v>
      </c>
      <c r="G442" s="2">
        <v>20</v>
      </c>
      <c r="H442" s="2">
        <v>1200</v>
      </c>
      <c r="I442" s="2">
        <v>5</v>
      </c>
      <c r="J442" s="2">
        <v>22800</v>
      </c>
      <c r="K442" s="2">
        <v>700</v>
      </c>
      <c r="L442" s="2">
        <v>14000</v>
      </c>
      <c r="M442" s="2">
        <v>8800</v>
      </c>
      <c r="N442" s="2" t="s">
        <v>22</v>
      </c>
      <c r="O442" s="2" t="s">
        <v>55</v>
      </c>
      <c r="P442" s="2" t="s">
        <v>44</v>
      </c>
    </row>
    <row r="443" spans="1:16" x14ac:dyDescent="0.25">
      <c r="A443" s="3" t="s">
        <v>764</v>
      </c>
      <c r="B443" s="3" t="s">
        <v>79</v>
      </c>
      <c r="C443" s="3" t="s">
        <v>18</v>
      </c>
      <c r="D443" s="3" t="s">
        <v>40</v>
      </c>
      <c r="E443" s="3" t="s">
        <v>34</v>
      </c>
      <c r="F443" s="3" t="s">
        <v>89</v>
      </c>
      <c r="G443" s="3">
        <v>4</v>
      </c>
      <c r="H443" s="3">
        <v>4500</v>
      </c>
      <c r="I443" s="3">
        <v>15</v>
      </c>
      <c r="J443" s="3">
        <v>15300</v>
      </c>
      <c r="K443" s="3">
        <v>2500</v>
      </c>
      <c r="L443" s="3">
        <v>10000</v>
      </c>
      <c r="M443" s="3">
        <v>5300</v>
      </c>
      <c r="N443" s="3" t="s">
        <v>22</v>
      </c>
      <c r="O443" s="3" t="s">
        <v>66</v>
      </c>
      <c r="P443" s="3" t="s">
        <v>44</v>
      </c>
    </row>
    <row r="444" spans="1:16" x14ac:dyDescent="0.25">
      <c r="A444" s="2" t="s">
        <v>765</v>
      </c>
      <c r="B444" s="2" t="s">
        <v>139</v>
      </c>
      <c r="C444" s="2" t="s">
        <v>92</v>
      </c>
      <c r="D444" s="2" t="s">
        <v>40</v>
      </c>
      <c r="E444" s="2" t="s">
        <v>53</v>
      </c>
      <c r="F444" s="2" t="s">
        <v>85</v>
      </c>
      <c r="G444" s="2">
        <v>1</v>
      </c>
      <c r="H444" s="2">
        <v>1500</v>
      </c>
      <c r="I444" s="2">
        <v>10</v>
      </c>
      <c r="J444" s="2">
        <v>1350</v>
      </c>
      <c r="K444" s="2">
        <v>800</v>
      </c>
      <c r="L444" s="2">
        <v>800</v>
      </c>
      <c r="M444" s="2">
        <v>550</v>
      </c>
      <c r="N444" s="2" t="s">
        <v>42</v>
      </c>
      <c r="O444" s="2" t="s">
        <v>23</v>
      </c>
      <c r="P444" s="2" t="s">
        <v>95</v>
      </c>
    </row>
    <row r="445" spans="1:16" x14ac:dyDescent="0.25">
      <c r="A445" s="3" t="s">
        <v>766</v>
      </c>
      <c r="B445" s="3" t="s">
        <v>767</v>
      </c>
      <c r="C445" s="3" t="s">
        <v>92</v>
      </c>
      <c r="D445" s="3" t="s">
        <v>52</v>
      </c>
      <c r="E445" s="3" t="s">
        <v>53</v>
      </c>
      <c r="F445" s="3" t="s">
        <v>82</v>
      </c>
      <c r="G445" s="3">
        <v>20</v>
      </c>
      <c r="H445" s="3">
        <v>4000</v>
      </c>
      <c r="I445" s="3">
        <v>25</v>
      </c>
      <c r="J445" s="3">
        <v>60000</v>
      </c>
      <c r="K445" s="3">
        <v>2500</v>
      </c>
      <c r="L445" s="3">
        <v>50000</v>
      </c>
      <c r="M445" s="3">
        <v>10000</v>
      </c>
      <c r="N445" s="3" t="s">
        <v>42</v>
      </c>
      <c r="O445" s="3" t="s">
        <v>66</v>
      </c>
      <c r="P445" s="3" t="s">
        <v>86</v>
      </c>
    </row>
    <row r="446" spans="1:16" x14ac:dyDescent="0.25">
      <c r="A446" s="2" t="s">
        <v>768</v>
      </c>
      <c r="B446" s="2" t="s">
        <v>769</v>
      </c>
      <c r="C446" s="2" t="s">
        <v>100</v>
      </c>
      <c r="D446" s="2" t="s">
        <v>159</v>
      </c>
      <c r="E446" s="2" t="s">
        <v>20</v>
      </c>
      <c r="F446" s="2" t="s">
        <v>137</v>
      </c>
      <c r="G446" s="2">
        <v>8</v>
      </c>
      <c r="H446" s="2">
        <v>15000</v>
      </c>
      <c r="I446" s="2">
        <v>5</v>
      </c>
      <c r="J446" s="2">
        <v>114000</v>
      </c>
      <c r="K446" s="2">
        <v>10000</v>
      </c>
      <c r="L446" s="2">
        <v>80000</v>
      </c>
      <c r="M446" s="2">
        <v>34000</v>
      </c>
      <c r="N446" s="2" t="s">
        <v>22</v>
      </c>
      <c r="O446" s="2" t="s">
        <v>30</v>
      </c>
      <c r="P446" s="2" t="s">
        <v>44</v>
      </c>
    </row>
    <row r="447" spans="1:16" x14ac:dyDescent="0.25">
      <c r="A447" s="3" t="s">
        <v>770</v>
      </c>
      <c r="B447" s="3" t="s">
        <v>134</v>
      </c>
      <c r="C447" s="3" t="s">
        <v>63</v>
      </c>
      <c r="D447" s="3" t="s">
        <v>27</v>
      </c>
      <c r="E447" s="3" t="s">
        <v>28</v>
      </c>
      <c r="F447" s="3" t="s">
        <v>274</v>
      </c>
      <c r="G447" s="3">
        <v>8</v>
      </c>
      <c r="H447" s="3">
        <v>35000</v>
      </c>
      <c r="I447" s="3">
        <v>5</v>
      </c>
      <c r="J447" s="3">
        <v>266000</v>
      </c>
      <c r="K447" s="3">
        <v>26000</v>
      </c>
      <c r="L447" s="3">
        <v>208000</v>
      </c>
      <c r="M447" s="3">
        <v>58000</v>
      </c>
      <c r="N447" s="3" t="s">
        <v>42</v>
      </c>
      <c r="O447" s="3" t="s">
        <v>55</v>
      </c>
      <c r="P447" s="3" t="s">
        <v>44</v>
      </c>
    </row>
    <row r="448" spans="1:16" x14ac:dyDescent="0.25">
      <c r="A448" s="2" t="s">
        <v>771</v>
      </c>
      <c r="B448" s="2" t="s">
        <v>772</v>
      </c>
      <c r="C448" s="2" t="s">
        <v>47</v>
      </c>
      <c r="D448" s="2" t="s">
        <v>74</v>
      </c>
      <c r="E448" s="2" t="s">
        <v>53</v>
      </c>
      <c r="F448" s="2" t="s">
        <v>82</v>
      </c>
      <c r="G448" s="2">
        <v>4</v>
      </c>
      <c r="H448" s="2">
        <v>4000</v>
      </c>
      <c r="I448" s="2">
        <v>25</v>
      </c>
      <c r="J448" s="2">
        <v>12000</v>
      </c>
      <c r="K448" s="2">
        <v>2500</v>
      </c>
      <c r="L448" s="2">
        <v>10000</v>
      </c>
      <c r="M448" s="2">
        <v>2000</v>
      </c>
      <c r="N448" s="2" t="s">
        <v>42</v>
      </c>
      <c r="O448" s="2" t="s">
        <v>66</v>
      </c>
      <c r="P448" s="2" t="s">
        <v>44</v>
      </c>
    </row>
    <row r="449" spans="1:16" x14ac:dyDescent="0.25">
      <c r="A449" s="3" t="s">
        <v>773</v>
      </c>
      <c r="B449" s="3" t="s">
        <v>410</v>
      </c>
      <c r="C449" s="3" t="s">
        <v>47</v>
      </c>
      <c r="D449" s="3" t="s">
        <v>64</v>
      </c>
      <c r="E449" s="3" t="s">
        <v>28</v>
      </c>
      <c r="F449" s="3" t="s">
        <v>274</v>
      </c>
      <c r="G449" s="3">
        <v>13</v>
      </c>
      <c r="H449" s="3">
        <v>35000</v>
      </c>
      <c r="I449" s="3">
        <v>0</v>
      </c>
      <c r="J449" s="3">
        <v>455000</v>
      </c>
      <c r="K449" s="3">
        <v>26000</v>
      </c>
      <c r="L449" s="3">
        <v>338000</v>
      </c>
      <c r="M449" s="3">
        <v>117000</v>
      </c>
      <c r="N449" s="3" t="s">
        <v>42</v>
      </c>
      <c r="O449" s="3" t="s">
        <v>55</v>
      </c>
      <c r="P449" s="3" t="s">
        <v>44</v>
      </c>
    </row>
    <row r="450" spans="1:16" x14ac:dyDescent="0.25">
      <c r="A450" s="2" t="s">
        <v>774</v>
      </c>
      <c r="B450" s="2" t="s">
        <v>353</v>
      </c>
      <c r="C450" s="2" t="s">
        <v>104</v>
      </c>
      <c r="D450" s="2" t="s">
        <v>52</v>
      </c>
      <c r="E450" s="2" t="s">
        <v>53</v>
      </c>
      <c r="F450" s="2" t="s">
        <v>101</v>
      </c>
      <c r="G450" s="2">
        <v>15</v>
      </c>
      <c r="H450" s="2">
        <v>1200</v>
      </c>
      <c r="I450" s="2">
        <v>15</v>
      </c>
      <c r="J450" s="2">
        <v>15300</v>
      </c>
      <c r="K450" s="2">
        <v>700</v>
      </c>
      <c r="L450" s="2">
        <v>10500</v>
      </c>
      <c r="M450" s="2">
        <v>4800</v>
      </c>
      <c r="N450" s="2" t="s">
        <v>22</v>
      </c>
      <c r="O450" s="2" t="s">
        <v>55</v>
      </c>
      <c r="P450" s="2" t="s">
        <v>86</v>
      </c>
    </row>
    <row r="451" spans="1:16" x14ac:dyDescent="0.25">
      <c r="A451" s="3" t="s">
        <v>775</v>
      </c>
      <c r="B451" s="3" t="s">
        <v>458</v>
      </c>
      <c r="C451" s="3" t="s">
        <v>100</v>
      </c>
      <c r="D451" s="3" t="s">
        <v>159</v>
      </c>
      <c r="E451" s="3" t="s">
        <v>28</v>
      </c>
      <c r="F451" s="3" t="s">
        <v>116</v>
      </c>
      <c r="G451" s="3">
        <v>18</v>
      </c>
      <c r="H451" s="3">
        <v>85000</v>
      </c>
      <c r="I451" s="3">
        <v>20</v>
      </c>
      <c r="J451" s="3">
        <v>1224000</v>
      </c>
      <c r="K451" s="3">
        <v>65000</v>
      </c>
      <c r="L451" s="3">
        <v>1170000</v>
      </c>
      <c r="M451" s="3">
        <v>54000</v>
      </c>
      <c r="N451" s="3" t="s">
        <v>22</v>
      </c>
      <c r="O451" s="3" t="s">
        <v>23</v>
      </c>
      <c r="P451" s="3" t="s">
        <v>44</v>
      </c>
    </row>
    <row r="452" spans="1:16" x14ac:dyDescent="0.25">
      <c r="A452" s="2" t="s">
        <v>776</v>
      </c>
      <c r="B452" s="2" t="s">
        <v>296</v>
      </c>
      <c r="C452" s="2" t="s">
        <v>33</v>
      </c>
      <c r="D452" s="2" t="s">
        <v>27</v>
      </c>
      <c r="E452" s="2" t="s">
        <v>28</v>
      </c>
      <c r="F452" s="2" t="s">
        <v>116</v>
      </c>
      <c r="G452" s="2">
        <v>18</v>
      </c>
      <c r="H452" s="2">
        <v>85000</v>
      </c>
      <c r="I452" s="2">
        <v>25</v>
      </c>
      <c r="J452" s="2">
        <v>1147500</v>
      </c>
      <c r="K452" s="2">
        <v>65000</v>
      </c>
      <c r="L452" s="2">
        <v>1170000</v>
      </c>
      <c r="M452" s="2">
        <v>-22500</v>
      </c>
      <c r="N452" s="2" t="s">
        <v>42</v>
      </c>
      <c r="O452" s="2" t="s">
        <v>23</v>
      </c>
      <c r="P452" s="2" t="s">
        <v>86</v>
      </c>
    </row>
    <row r="453" spans="1:16" x14ac:dyDescent="0.25">
      <c r="A453" s="3" t="s">
        <v>777</v>
      </c>
      <c r="B453" s="3" t="s">
        <v>237</v>
      </c>
      <c r="C453" s="3" t="s">
        <v>92</v>
      </c>
      <c r="D453" s="3" t="s">
        <v>19</v>
      </c>
      <c r="E453" s="3" t="s">
        <v>93</v>
      </c>
      <c r="F453" s="3" t="s">
        <v>98</v>
      </c>
      <c r="G453" s="3">
        <v>2</v>
      </c>
      <c r="H453" s="3">
        <v>400</v>
      </c>
      <c r="I453" s="3">
        <v>0</v>
      </c>
      <c r="J453" s="3">
        <v>800</v>
      </c>
      <c r="K453" s="3">
        <v>280</v>
      </c>
      <c r="L453" s="3">
        <v>560</v>
      </c>
      <c r="M453" s="3">
        <v>240</v>
      </c>
      <c r="N453" s="3" t="s">
        <v>22</v>
      </c>
      <c r="O453" s="3" t="s">
        <v>43</v>
      </c>
      <c r="P453" s="3" t="s">
        <v>44</v>
      </c>
    </row>
    <row r="454" spans="1:16" x14ac:dyDescent="0.25">
      <c r="A454" s="2" t="s">
        <v>778</v>
      </c>
      <c r="B454" s="2" t="s">
        <v>285</v>
      </c>
      <c r="C454" s="2" t="s">
        <v>63</v>
      </c>
      <c r="D454" s="2" t="s">
        <v>159</v>
      </c>
      <c r="E454" s="2" t="s">
        <v>53</v>
      </c>
      <c r="F454" s="2" t="s">
        <v>54</v>
      </c>
      <c r="G454" s="2">
        <v>9</v>
      </c>
      <c r="H454" s="2">
        <v>2000</v>
      </c>
      <c r="I454" s="2">
        <v>15</v>
      </c>
      <c r="J454" s="2">
        <v>15300</v>
      </c>
      <c r="K454" s="2">
        <v>1200</v>
      </c>
      <c r="L454" s="2">
        <v>10800</v>
      </c>
      <c r="M454" s="2">
        <v>4500</v>
      </c>
      <c r="N454" s="2" t="s">
        <v>42</v>
      </c>
      <c r="O454" s="2" t="s">
        <v>66</v>
      </c>
      <c r="P454" s="2" t="s">
        <v>24</v>
      </c>
    </row>
    <row r="455" spans="1:16" x14ac:dyDescent="0.25">
      <c r="A455" s="3" t="s">
        <v>779</v>
      </c>
      <c r="B455" s="3" t="s">
        <v>241</v>
      </c>
      <c r="C455" s="3" t="s">
        <v>100</v>
      </c>
      <c r="D455" s="3" t="s">
        <v>19</v>
      </c>
      <c r="E455" s="3" t="s">
        <v>93</v>
      </c>
      <c r="F455" s="3" t="s">
        <v>119</v>
      </c>
      <c r="G455" s="3">
        <v>18</v>
      </c>
      <c r="H455" s="3">
        <v>800</v>
      </c>
      <c r="I455" s="3">
        <v>0</v>
      </c>
      <c r="J455" s="3">
        <v>14400</v>
      </c>
      <c r="K455" s="3">
        <v>600</v>
      </c>
      <c r="L455" s="3">
        <v>10800</v>
      </c>
      <c r="M455" s="3">
        <v>3600</v>
      </c>
      <c r="N455" s="3" t="s">
        <v>22</v>
      </c>
      <c r="O455" s="3" t="s">
        <v>23</v>
      </c>
      <c r="P455" s="3" t="s">
        <v>44</v>
      </c>
    </row>
    <row r="456" spans="1:16" x14ac:dyDescent="0.25">
      <c r="A456" s="2" t="s">
        <v>780</v>
      </c>
      <c r="B456" s="2" t="s">
        <v>474</v>
      </c>
      <c r="C456" s="2" t="s">
        <v>18</v>
      </c>
      <c r="D456" s="2" t="s">
        <v>52</v>
      </c>
      <c r="E456" s="2" t="s">
        <v>53</v>
      </c>
      <c r="F456" s="2" t="s">
        <v>82</v>
      </c>
      <c r="G456" s="2">
        <v>10</v>
      </c>
      <c r="H456" s="2">
        <v>4000</v>
      </c>
      <c r="I456" s="2">
        <v>25</v>
      </c>
      <c r="J456" s="2">
        <v>30000</v>
      </c>
      <c r="K456" s="2">
        <v>2500</v>
      </c>
      <c r="L456" s="2">
        <v>25000</v>
      </c>
      <c r="M456" s="2">
        <v>5000</v>
      </c>
      <c r="N456" s="2" t="s">
        <v>42</v>
      </c>
      <c r="O456" s="2" t="s">
        <v>30</v>
      </c>
      <c r="P456" s="2" t="s">
        <v>44</v>
      </c>
    </row>
    <row r="457" spans="1:16" x14ac:dyDescent="0.25">
      <c r="A457" s="3" t="s">
        <v>781</v>
      </c>
      <c r="B457" s="3" t="s">
        <v>782</v>
      </c>
      <c r="C457" s="3" t="s">
        <v>77</v>
      </c>
      <c r="D457" s="3" t="s">
        <v>27</v>
      </c>
      <c r="E457" s="3" t="s">
        <v>28</v>
      </c>
      <c r="F457" s="3" t="s">
        <v>49</v>
      </c>
      <c r="G457" s="3">
        <v>6</v>
      </c>
      <c r="H457" s="3">
        <v>5000</v>
      </c>
      <c r="I457" s="3">
        <v>20</v>
      </c>
      <c r="J457" s="3">
        <v>24000</v>
      </c>
      <c r="K457" s="3">
        <v>3000</v>
      </c>
      <c r="L457" s="3">
        <v>18000</v>
      </c>
      <c r="M457" s="3">
        <v>6000</v>
      </c>
      <c r="N457" s="3" t="s">
        <v>22</v>
      </c>
      <c r="O457" s="3" t="s">
        <v>36</v>
      </c>
      <c r="P457" s="3" t="s">
        <v>24</v>
      </c>
    </row>
    <row r="458" spans="1:16" x14ac:dyDescent="0.25">
      <c r="A458" s="2" t="s">
        <v>783</v>
      </c>
      <c r="B458" s="2" t="s">
        <v>26</v>
      </c>
      <c r="C458" s="2" t="s">
        <v>39</v>
      </c>
      <c r="D458" s="2" t="s">
        <v>40</v>
      </c>
      <c r="E458" s="2" t="s">
        <v>20</v>
      </c>
      <c r="F458" s="2" t="s">
        <v>182</v>
      </c>
      <c r="G458" s="2">
        <v>1</v>
      </c>
      <c r="H458" s="2">
        <v>5000</v>
      </c>
      <c r="I458" s="2">
        <v>20</v>
      </c>
      <c r="J458" s="2">
        <v>4000</v>
      </c>
      <c r="K458" s="2">
        <v>3000</v>
      </c>
      <c r="L458" s="2">
        <v>3000</v>
      </c>
      <c r="M458" s="2">
        <v>1000</v>
      </c>
      <c r="N458" s="2" t="s">
        <v>22</v>
      </c>
      <c r="O458" s="2" t="s">
        <v>43</v>
      </c>
      <c r="P458" s="2" t="s">
        <v>44</v>
      </c>
    </row>
    <row r="459" spans="1:16" x14ac:dyDescent="0.25">
      <c r="A459" s="3" t="s">
        <v>784</v>
      </c>
      <c r="B459" s="3" t="s">
        <v>741</v>
      </c>
      <c r="C459" s="3" t="s">
        <v>47</v>
      </c>
      <c r="D459" s="3" t="s">
        <v>27</v>
      </c>
      <c r="E459" s="3" t="s">
        <v>53</v>
      </c>
      <c r="F459" s="3" t="s">
        <v>101</v>
      </c>
      <c r="G459" s="3">
        <v>3</v>
      </c>
      <c r="H459" s="3">
        <v>1200</v>
      </c>
      <c r="I459" s="3">
        <v>10</v>
      </c>
      <c r="J459" s="3">
        <v>3240</v>
      </c>
      <c r="K459" s="3">
        <v>700</v>
      </c>
      <c r="L459" s="3">
        <v>2100</v>
      </c>
      <c r="M459" s="3">
        <v>1140</v>
      </c>
      <c r="N459" s="3" t="s">
        <v>22</v>
      </c>
      <c r="O459" s="3" t="s">
        <v>23</v>
      </c>
      <c r="P459" s="3" t="s">
        <v>24</v>
      </c>
    </row>
    <row r="460" spans="1:16" x14ac:dyDescent="0.25">
      <c r="A460" s="2" t="s">
        <v>785</v>
      </c>
      <c r="B460" s="2" t="s">
        <v>46</v>
      </c>
      <c r="C460" s="2" t="s">
        <v>33</v>
      </c>
      <c r="D460" s="2" t="s">
        <v>27</v>
      </c>
      <c r="E460" s="2" t="s">
        <v>53</v>
      </c>
      <c r="F460" s="2" t="s">
        <v>54</v>
      </c>
      <c r="G460" s="2">
        <v>6</v>
      </c>
      <c r="H460" s="2">
        <v>2000</v>
      </c>
      <c r="I460" s="2">
        <v>5</v>
      </c>
      <c r="J460" s="2">
        <v>11400</v>
      </c>
      <c r="K460" s="2">
        <v>1200</v>
      </c>
      <c r="L460" s="2">
        <v>7200</v>
      </c>
      <c r="M460" s="2">
        <v>4200</v>
      </c>
      <c r="N460" s="2" t="s">
        <v>22</v>
      </c>
      <c r="O460" s="2" t="s">
        <v>30</v>
      </c>
      <c r="P460" s="2" t="s">
        <v>86</v>
      </c>
    </row>
    <row r="461" spans="1:16" x14ac:dyDescent="0.25">
      <c r="A461" s="3" t="s">
        <v>786</v>
      </c>
      <c r="B461" s="3" t="s">
        <v>787</v>
      </c>
      <c r="C461" s="3" t="s">
        <v>18</v>
      </c>
      <c r="D461" s="3" t="s">
        <v>40</v>
      </c>
      <c r="E461" s="3" t="s">
        <v>53</v>
      </c>
      <c r="F461" s="3" t="s">
        <v>82</v>
      </c>
      <c r="G461" s="3">
        <v>18</v>
      </c>
      <c r="H461" s="3">
        <v>4000</v>
      </c>
      <c r="I461" s="3">
        <v>15</v>
      </c>
      <c r="J461" s="3">
        <v>61200</v>
      </c>
      <c r="K461" s="3">
        <v>2500</v>
      </c>
      <c r="L461" s="3">
        <v>45000</v>
      </c>
      <c r="M461" s="3">
        <v>16200</v>
      </c>
      <c r="N461" s="3" t="s">
        <v>22</v>
      </c>
      <c r="O461" s="3" t="s">
        <v>55</v>
      </c>
      <c r="P461" s="3" t="s">
        <v>24</v>
      </c>
    </row>
    <row r="462" spans="1:16" x14ac:dyDescent="0.25">
      <c r="A462" s="2" t="s">
        <v>788</v>
      </c>
      <c r="B462" s="2" t="s">
        <v>285</v>
      </c>
      <c r="C462" s="2" t="s">
        <v>18</v>
      </c>
      <c r="D462" s="2" t="s">
        <v>64</v>
      </c>
      <c r="E462" s="2" t="s">
        <v>53</v>
      </c>
      <c r="F462" s="2" t="s">
        <v>71</v>
      </c>
      <c r="G462" s="2">
        <v>11</v>
      </c>
      <c r="H462" s="2">
        <v>8000</v>
      </c>
      <c r="I462" s="2">
        <v>10</v>
      </c>
      <c r="J462" s="2">
        <v>79200</v>
      </c>
      <c r="K462" s="2">
        <v>5000</v>
      </c>
      <c r="L462" s="2">
        <v>55000</v>
      </c>
      <c r="M462" s="2">
        <v>24200</v>
      </c>
      <c r="N462" s="2" t="s">
        <v>22</v>
      </c>
      <c r="O462" s="2" t="s">
        <v>23</v>
      </c>
      <c r="P462" s="2" t="s">
        <v>24</v>
      </c>
    </row>
    <row r="463" spans="1:16" x14ac:dyDescent="0.25">
      <c r="A463" s="3" t="s">
        <v>789</v>
      </c>
      <c r="B463" s="3" t="s">
        <v>362</v>
      </c>
      <c r="C463" s="3" t="s">
        <v>39</v>
      </c>
      <c r="D463" s="3" t="s">
        <v>159</v>
      </c>
      <c r="E463" s="3" t="s">
        <v>34</v>
      </c>
      <c r="F463" s="3" t="s">
        <v>41</v>
      </c>
      <c r="G463" s="3">
        <v>16</v>
      </c>
      <c r="H463" s="3">
        <v>3000</v>
      </c>
      <c r="I463" s="3">
        <v>15</v>
      </c>
      <c r="J463" s="3">
        <v>40800</v>
      </c>
      <c r="K463" s="3">
        <v>1500</v>
      </c>
      <c r="L463" s="3">
        <v>24000</v>
      </c>
      <c r="M463" s="3">
        <v>16800</v>
      </c>
      <c r="N463" s="3" t="s">
        <v>42</v>
      </c>
      <c r="O463" s="3" t="s">
        <v>30</v>
      </c>
      <c r="P463" s="3" t="s">
        <v>24</v>
      </c>
    </row>
    <row r="464" spans="1:16" x14ac:dyDescent="0.25">
      <c r="A464" s="2" t="s">
        <v>790</v>
      </c>
      <c r="B464" s="2" t="s">
        <v>184</v>
      </c>
      <c r="C464" s="2" t="s">
        <v>47</v>
      </c>
      <c r="D464" s="2" t="s">
        <v>40</v>
      </c>
      <c r="E464" s="2" t="s">
        <v>53</v>
      </c>
      <c r="F464" s="2" t="s">
        <v>101</v>
      </c>
      <c r="G464" s="2">
        <v>12</v>
      </c>
      <c r="H464" s="2">
        <v>1200</v>
      </c>
      <c r="I464" s="2">
        <v>10</v>
      </c>
      <c r="J464" s="2">
        <v>12960</v>
      </c>
      <c r="K464" s="2">
        <v>700</v>
      </c>
      <c r="L464" s="2">
        <v>8400</v>
      </c>
      <c r="M464" s="2">
        <v>4560</v>
      </c>
      <c r="N464" s="2" t="s">
        <v>42</v>
      </c>
      <c r="O464" s="2" t="s">
        <v>36</v>
      </c>
      <c r="P464" s="2" t="s">
        <v>44</v>
      </c>
    </row>
    <row r="465" spans="1:16" x14ac:dyDescent="0.25">
      <c r="A465" s="3" t="s">
        <v>791</v>
      </c>
      <c r="B465" s="3" t="s">
        <v>70</v>
      </c>
      <c r="C465" s="3" t="s">
        <v>33</v>
      </c>
      <c r="D465" s="3" t="s">
        <v>27</v>
      </c>
      <c r="E465" s="3" t="s">
        <v>20</v>
      </c>
      <c r="F465" s="3" t="s">
        <v>182</v>
      </c>
      <c r="G465" s="3">
        <v>5</v>
      </c>
      <c r="H465" s="3">
        <v>5000</v>
      </c>
      <c r="I465" s="3">
        <v>25</v>
      </c>
      <c r="J465" s="3">
        <v>18750</v>
      </c>
      <c r="K465" s="3">
        <v>3000</v>
      </c>
      <c r="L465" s="3">
        <v>15000</v>
      </c>
      <c r="M465" s="3">
        <v>3750</v>
      </c>
      <c r="N465" s="3" t="s">
        <v>42</v>
      </c>
      <c r="O465" s="3" t="s">
        <v>66</v>
      </c>
      <c r="P465" s="3" t="s">
        <v>44</v>
      </c>
    </row>
    <row r="466" spans="1:16" x14ac:dyDescent="0.25">
      <c r="A466" s="2" t="s">
        <v>792</v>
      </c>
      <c r="B466" s="2" t="s">
        <v>282</v>
      </c>
      <c r="C466" s="2" t="s">
        <v>39</v>
      </c>
      <c r="D466" s="2" t="s">
        <v>74</v>
      </c>
      <c r="E466" s="2" t="s">
        <v>53</v>
      </c>
      <c r="F466" s="2" t="s">
        <v>82</v>
      </c>
      <c r="G466" s="2">
        <v>6</v>
      </c>
      <c r="H466" s="2">
        <v>4000</v>
      </c>
      <c r="I466" s="2">
        <v>25</v>
      </c>
      <c r="J466" s="2">
        <v>18000</v>
      </c>
      <c r="K466" s="2">
        <v>2500</v>
      </c>
      <c r="L466" s="2">
        <v>15000</v>
      </c>
      <c r="M466" s="2">
        <v>3000</v>
      </c>
      <c r="N466" s="2" t="s">
        <v>22</v>
      </c>
      <c r="O466" s="2" t="s">
        <v>55</v>
      </c>
      <c r="P466" s="2" t="s">
        <v>86</v>
      </c>
    </row>
    <row r="467" spans="1:16" x14ac:dyDescent="0.25">
      <c r="A467" s="3" t="s">
        <v>793</v>
      </c>
      <c r="B467" s="3" t="s">
        <v>113</v>
      </c>
      <c r="C467" s="3" t="s">
        <v>63</v>
      </c>
      <c r="D467" s="3" t="s">
        <v>64</v>
      </c>
      <c r="E467" s="3" t="s">
        <v>20</v>
      </c>
      <c r="F467" s="3" t="s">
        <v>65</v>
      </c>
      <c r="G467" s="3">
        <v>3</v>
      </c>
      <c r="H467" s="3">
        <v>18000</v>
      </c>
      <c r="I467" s="3">
        <v>0</v>
      </c>
      <c r="J467" s="3">
        <v>54000</v>
      </c>
      <c r="K467" s="3">
        <v>12000</v>
      </c>
      <c r="L467" s="3">
        <v>36000</v>
      </c>
      <c r="M467" s="3">
        <v>18000</v>
      </c>
      <c r="N467" s="3" t="s">
        <v>22</v>
      </c>
      <c r="O467" s="3" t="s">
        <v>30</v>
      </c>
      <c r="P467" s="3" t="s">
        <v>44</v>
      </c>
    </row>
    <row r="468" spans="1:16" x14ac:dyDescent="0.25">
      <c r="A468" s="2" t="s">
        <v>794</v>
      </c>
      <c r="B468" s="2" t="s">
        <v>795</v>
      </c>
      <c r="C468" s="2" t="s">
        <v>33</v>
      </c>
      <c r="D468" s="2" t="s">
        <v>19</v>
      </c>
      <c r="E468" s="2" t="s">
        <v>53</v>
      </c>
      <c r="F468" s="2" t="s">
        <v>85</v>
      </c>
      <c r="G468" s="2">
        <v>18</v>
      </c>
      <c r="H468" s="2">
        <v>1500</v>
      </c>
      <c r="I468" s="2">
        <v>20</v>
      </c>
      <c r="J468" s="2">
        <v>21600</v>
      </c>
      <c r="K468" s="2">
        <v>800</v>
      </c>
      <c r="L468" s="2">
        <v>14400</v>
      </c>
      <c r="M468" s="2">
        <v>7200</v>
      </c>
      <c r="N468" s="2" t="s">
        <v>42</v>
      </c>
      <c r="O468" s="2" t="s">
        <v>23</v>
      </c>
      <c r="P468" s="2" t="s">
        <v>86</v>
      </c>
    </row>
    <row r="469" spans="1:16" x14ac:dyDescent="0.25">
      <c r="A469" s="3" t="s">
        <v>796</v>
      </c>
      <c r="B469" s="3" t="s">
        <v>797</v>
      </c>
      <c r="C469" s="3" t="s">
        <v>77</v>
      </c>
      <c r="D469" s="3" t="s">
        <v>64</v>
      </c>
      <c r="E469" s="3" t="s">
        <v>53</v>
      </c>
      <c r="F469" s="3" t="s">
        <v>85</v>
      </c>
      <c r="G469" s="3">
        <v>5</v>
      </c>
      <c r="H469" s="3">
        <v>1500</v>
      </c>
      <c r="I469" s="3">
        <v>15</v>
      </c>
      <c r="J469" s="3">
        <v>6375</v>
      </c>
      <c r="K469" s="3">
        <v>800</v>
      </c>
      <c r="L469" s="3">
        <v>4000</v>
      </c>
      <c r="M469" s="3">
        <v>2375</v>
      </c>
      <c r="N469" s="3" t="s">
        <v>22</v>
      </c>
      <c r="O469" s="3" t="s">
        <v>66</v>
      </c>
      <c r="P469" s="3" t="s">
        <v>44</v>
      </c>
    </row>
    <row r="470" spans="1:16" x14ac:dyDescent="0.25">
      <c r="A470" s="2" t="s">
        <v>798</v>
      </c>
      <c r="B470" s="2" t="s">
        <v>799</v>
      </c>
      <c r="C470" s="2" t="s">
        <v>33</v>
      </c>
      <c r="D470" s="2" t="s">
        <v>40</v>
      </c>
      <c r="E470" s="2" t="s">
        <v>53</v>
      </c>
      <c r="F470" s="2" t="s">
        <v>54</v>
      </c>
      <c r="G470" s="2">
        <v>15</v>
      </c>
      <c r="H470" s="2">
        <v>2000</v>
      </c>
      <c r="I470" s="2">
        <v>5</v>
      </c>
      <c r="J470" s="2">
        <v>28500</v>
      </c>
      <c r="K470" s="2">
        <v>1200</v>
      </c>
      <c r="L470" s="2">
        <v>18000</v>
      </c>
      <c r="M470" s="2">
        <v>10500</v>
      </c>
      <c r="N470" s="2" t="s">
        <v>22</v>
      </c>
      <c r="O470" s="2" t="s">
        <v>30</v>
      </c>
      <c r="P470" s="2" t="s">
        <v>95</v>
      </c>
    </row>
    <row r="471" spans="1:16" x14ac:dyDescent="0.25">
      <c r="A471" s="3" t="s">
        <v>800</v>
      </c>
      <c r="B471" s="3" t="s">
        <v>801</v>
      </c>
      <c r="C471" s="3" t="s">
        <v>92</v>
      </c>
      <c r="D471" s="3" t="s">
        <v>74</v>
      </c>
      <c r="E471" s="3" t="s">
        <v>20</v>
      </c>
      <c r="F471" s="3" t="s">
        <v>65</v>
      </c>
      <c r="G471" s="3">
        <v>8</v>
      </c>
      <c r="H471" s="3">
        <v>18000</v>
      </c>
      <c r="I471" s="3">
        <v>15</v>
      </c>
      <c r="J471" s="3">
        <v>122400</v>
      </c>
      <c r="K471" s="3">
        <v>12000</v>
      </c>
      <c r="L471" s="3">
        <v>96000</v>
      </c>
      <c r="M471" s="3">
        <v>26400</v>
      </c>
      <c r="N471" s="3" t="s">
        <v>22</v>
      </c>
      <c r="O471" s="3" t="s">
        <v>43</v>
      </c>
      <c r="P471" s="3" t="s">
        <v>44</v>
      </c>
    </row>
    <row r="472" spans="1:16" x14ac:dyDescent="0.25">
      <c r="A472" s="2" t="s">
        <v>802</v>
      </c>
      <c r="B472" s="2" t="s">
        <v>58</v>
      </c>
      <c r="C472" s="2" t="s">
        <v>104</v>
      </c>
      <c r="D472" s="2" t="s">
        <v>64</v>
      </c>
      <c r="E472" s="2" t="s">
        <v>53</v>
      </c>
      <c r="F472" s="2" t="s">
        <v>85</v>
      </c>
      <c r="G472" s="2">
        <v>13</v>
      </c>
      <c r="H472" s="2">
        <v>1500</v>
      </c>
      <c r="I472" s="2">
        <v>15</v>
      </c>
      <c r="J472" s="2">
        <v>16575</v>
      </c>
      <c r="K472" s="2">
        <v>800</v>
      </c>
      <c r="L472" s="2">
        <v>10400</v>
      </c>
      <c r="M472" s="2">
        <v>6175</v>
      </c>
      <c r="N472" s="2" t="s">
        <v>42</v>
      </c>
      <c r="O472" s="2" t="s">
        <v>43</v>
      </c>
      <c r="P472" s="2" t="s">
        <v>44</v>
      </c>
    </row>
    <row r="473" spans="1:16" x14ac:dyDescent="0.25">
      <c r="A473" s="3" t="s">
        <v>803</v>
      </c>
      <c r="B473" s="3" t="s">
        <v>375</v>
      </c>
      <c r="C473" s="3" t="s">
        <v>100</v>
      </c>
      <c r="D473" s="3" t="s">
        <v>159</v>
      </c>
      <c r="E473" s="3" t="s">
        <v>53</v>
      </c>
      <c r="F473" s="3" t="s">
        <v>85</v>
      </c>
      <c r="G473" s="3">
        <v>9</v>
      </c>
      <c r="H473" s="3">
        <v>1500</v>
      </c>
      <c r="I473" s="3">
        <v>20</v>
      </c>
      <c r="J473" s="3">
        <v>10800</v>
      </c>
      <c r="K473" s="3">
        <v>800</v>
      </c>
      <c r="L473" s="3">
        <v>7200</v>
      </c>
      <c r="M473" s="3">
        <v>3600</v>
      </c>
      <c r="N473" s="3" t="s">
        <v>22</v>
      </c>
      <c r="O473" s="3" t="s">
        <v>66</v>
      </c>
      <c r="P473" s="3" t="s">
        <v>24</v>
      </c>
    </row>
    <row r="474" spans="1:16" x14ac:dyDescent="0.25">
      <c r="A474" s="2" t="s">
        <v>804</v>
      </c>
      <c r="B474" s="2" t="s">
        <v>797</v>
      </c>
      <c r="C474" s="2" t="s">
        <v>47</v>
      </c>
      <c r="D474" s="2" t="s">
        <v>159</v>
      </c>
      <c r="E474" s="2" t="s">
        <v>53</v>
      </c>
      <c r="F474" s="2" t="s">
        <v>85</v>
      </c>
      <c r="G474" s="2">
        <v>13</v>
      </c>
      <c r="H474" s="2">
        <v>1500</v>
      </c>
      <c r="I474" s="2">
        <v>5</v>
      </c>
      <c r="J474" s="2">
        <v>18525</v>
      </c>
      <c r="K474" s="2">
        <v>800</v>
      </c>
      <c r="L474" s="2">
        <v>10400</v>
      </c>
      <c r="M474" s="2">
        <v>8125</v>
      </c>
      <c r="N474" s="2" t="s">
        <v>42</v>
      </c>
      <c r="O474" s="2" t="s">
        <v>55</v>
      </c>
      <c r="P474" s="2" t="s">
        <v>86</v>
      </c>
    </row>
    <row r="475" spans="1:16" x14ac:dyDescent="0.25">
      <c r="A475" s="3" t="s">
        <v>805</v>
      </c>
      <c r="B475" s="3" t="s">
        <v>46</v>
      </c>
      <c r="C475" s="3" t="s">
        <v>122</v>
      </c>
      <c r="D475" s="3" t="s">
        <v>74</v>
      </c>
      <c r="E475" s="3" t="s">
        <v>53</v>
      </c>
      <c r="F475" s="3" t="s">
        <v>82</v>
      </c>
      <c r="G475" s="3">
        <v>17</v>
      </c>
      <c r="H475" s="3">
        <v>4000</v>
      </c>
      <c r="I475" s="3">
        <v>5</v>
      </c>
      <c r="J475" s="3">
        <v>64600</v>
      </c>
      <c r="K475" s="3">
        <v>2500</v>
      </c>
      <c r="L475" s="3">
        <v>42500</v>
      </c>
      <c r="M475" s="3">
        <v>22100</v>
      </c>
      <c r="N475" s="3" t="s">
        <v>42</v>
      </c>
      <c r="O475" s="3" t="s">
        <v>36</v>
      </c>
      <c r="P475" s="3" t="s">
        <v>44</v>
      </c>
    </row>
    <row r="476" spans="1:16" x14ac:dyDescent="0.25">
      <c r="A476" s="2" t="s">
        <v>806</v>
      </c>
      <c r="B476" s="2" t="s">
        <v>807</v>
      </c>
      <c r="C476" s="2" t="s">
        <v>39</v>
      </c>
      <c r="D476" s="2" t="s">
        <v>64</v>
      </c>
      <c r="E476" s="2" t="s">
        <v>34</v>
      </c>
      <c r="F476" s="2" t="s">
        <v>146</v>
      </c>
      <c r="G476" s="2">
        <v>6</v>
      </c>
      <c r="H476" s="2">
        <v>3500</v>
      </c>
      <c r="I476" s="2">
        <v>10</v>
      </c>
      <c r="J476" s="2">
        <v>18900</v>
      </c>
      <c r="K476" s="2">
        <v>1800</v>
      </c>
      <c r="L476" s="2">
        <v>10800</v>
      </c>
      <c r="M476" s="2">
        <v>8100</v>
      </c>
      <c r="N476" s="2" t="s">
        <v>22</v>
      </c>
      <c r="O476" s="2" t="s">
        <v>23</v>
      </c>
      <c r="P476" s="2" t="s">
        <v>44</v>
      </c>
    </row>
    <row r="477" spans="1:16" x14ac:dyDescent="0.25">
      <c r="A477" s="3" t="s">
        <v>808</v>
      </c>
      <c r="B477" s="3" t="s">
        <v>627</v>
      </c>
      <c r="C477" s="3" t="s">
        <v>18</v>
      </c>
      <c r="D477" s="3" t="s">
        <v>74</v>
      </c>
      <c r="E477" s="3" t="s">
        <v>93</v>
      </c>
      <c r="F477" s="3" t="s">
        <v>109</v>
      </c>
      <c r="G477" s="3">
        <v>7</v>
      </c>
      <c r="H477" s="3">
        <v>700</v>
      </c>
      <c r="I477" s="3">
        <v>20</v>
      </c>
      <c r="J477" s="3">
        <v>3920</v>
      </c>
      <c r="K477" s="3">
        <v>500</v>
      </c>
      <c r="L477" s="3">
        <v>3500</v>
      </c>
      <c r="M477" s="3">
        <v>420</v>
      </c>
      <c r="N477" s="3" t="s">
        <v>22</v>
      </c>
      <c r="O477" s="3" t="s">
        <v>23</v>
      </c>
      <c r="P477" s="3" t="s">
        <v>86</v>
      </c>
    </row>
    <row r="478" spans="1:16" x14ac:dyDescent="0.25">
      <c r="A478" s="2" t="s">
        <v>809</v>
      </c>
      <c r="B478" s="2" t="s">
        <v>810</v>
      </c>
      <c r="C478" s="2" t="s">
        <v>33</v>
      </c>
      <c r="D478" s="2" t="s">
        <v>19</v>
      </c>
      <c r="E478" s="2" t="s">
        <v>34</v>
      </c>
      <c r="F478" s="2" t="s">
        <v>89</v>
      </c>
      <c r="G478" s="2">
        <v>19</v>
      </c>
      <c r="H478" s="2">
        <v>4500</v>
      </c>
      <c r="I478" s="2">
        <v>5</v>
      </c>
      <c r="J478" s="2">
        <v>81225</v>
      </c>
      <c r="K478" s="2">
        <v>2500</v>
      </c>
      <c r="L478" s="2">
        <v>47500</v>
      </c>
      <c r="M478" s="2">
        <v>33725</v>
      </c>
      <c r="N478" s="2" t="s">
        <v>22</v>
      </c>
      <c r="O478" s="2" t="s">
        <v>23</v>
      </c>
      <c r="P478" s="2" t="s">
        <v>44</v>
      </c>
    </row>
    <row r="479" spans="1:16" x14ac:dyDescent="0.25">
      <c r="A479" s="3" t="s">
        <v>811</v>
      </c>
      <c r="B479" s="3" t="s">
        <v>741</v>
      </c>
      <c r="C479" s="3" t="s">
        <v>92</v>
      </c>
      <c r="D479" s="3" t="s">
        <v>19</v>
      </c>
      <c r="E479" s="3" t="s">
        <v>34</v>
      </c>
      <c r="F479" s="3" t="s">
        <v>41</v>
      </c>
      <c r="G479" s="3">
        <v>6</v>
      </c>
      <c r="H479" s="3">
        <v>3000</v>
      </c>
      <c r="I479" s="3">
        <v>20</v>
      </c>
      <c r="J479" s="3">
        <v>14400</v>
      </c>
      <c r="K479" s="3">
        <v>1500</v>
      </c>
      <c r="L479" s="3">
        <v>9000</v>
      </c>
      <c r="M479" s="3">
        <v>5400</v>
      </c>
      <c r="N479" s="3" t="s">
        <v>42</v>
      </c>
      <c r="O479" s="3" t="s">
        <v>30</v>
      </c>
      <c r="P479" s="3" t="s">
        <v>95</v>
      </c>
    </row>
    <row r="480" spans="1:16" x14ac:dyDescent="0.25">
      <c r="A480" s="2" t="s">
        <v>812</v>
      </c>
      <c r="B480" s="2" t="s">
        <v>744</v>
      </c>
      <c r="C480" s="2" t="s">
        <v>104</v>
      </c>
      <c r="D480" s="2" t="s">
        <v>48</v>
      </c>
      <c r="E480" s="2" t="s">
        <v>28</v>
      </c>
      <c r="F480" s="2" t="s">
        <v>116</v>
      </c>
      <c r="G480" s="2">
        <v>15</v>
      </c>
      <c r="H480" s="2">
        <v>85000</v>
      </c>
      <c r="I480" s="2">
        <v>20</v>
      </c>
      <c r="J480" s="2">
        <v>1020000</v>
      </c>
      <c r="K480" s="2">
        <v>65000</v>
      </c>
      <c r="L480" s="2">
        <v>975000</v>
      </c>
      <c r="M480" s="2">
        <v>45000</v>
      </c>
      <c r="N480" s="2" t="s">
        <v>42</v>
      </c>
      <c r="O480" s="2" t="s">
        <v>66</v>
      </c>
      <c r="P480" s="2" t="s">
        <v>44</v>
      </c>
    </row>
    <row r="481" spans="1:16" x14ac:dyDescent="0.25">
      <c r="A481" s="3" t="s">
        <v>813</v>
      </c>
      <c r="B481" s="3" t="s">
        <v>263</v>
      </c>
      <c r="C481" s="3" t="s">
        <v>47</v>
      </c>
      <c r="D481" s="3" t="s">
        <v>40</v>
      </c>
      <c r="E481" s="3" t="s">
        <v>53</v>
      </c>
      <c r="F481" s="3" t="s">
        <v>54</v>
      </c>
      <c r="G481" s="3">
        <v>20</v>
      </c>
      <c r="H481" s="3">
        <v>2000</v>
      </c>
      <c r="I481" s="3">
        <v>25</v>
      </c>
      <c r="J481" s="3">
        <v>30000</v>
      </c>
      <c r="K481" s="3">
        <v>1200</v>
      </c>
      <c r="L481" s="3">
        <v>24000</v>
      </c>
      <c r="M481" s="3">
        <v>6000</v>
      </c>
      <c r="N481" s="3" t="s">
        <v>42</v>
      </c>
      <c r="O481" s="3" t="s">
        <v>36</v>
      </c>
      <c r="P481" s="3" t="s">
        <v>24</v>
      </c>
    </row>
    <row r="482" spans="1:16" x14ac:dyDescent="0.25">
      <c r="A482" s="2" t="s">
        <v>814</v>
      </c>
      <c r="B482" s="2" t="s">
        <v>351</v>
      </c>
      <c r="C482" s="2" t="s">
        <v>122</v>
      </c>
      <c r="D482" s="2" t="s">
        <v>159</v>
      </c>
      <c r="E482" s="2" t="s">
        <v>34</v>
      </c>
      <c r="F482" s="2" t="s">
        <v>35</v>
      </c>
      <c r="G482" s="2">
        <v>13</v>
      </c>
      <c r="H482" s="2">
        <v>6000</v>
      </c>
      <c r="I482" s="2">
        <v>5</v>
      </c>
      <c r="J482" s="2">
        <v>74100</v>
      </c>
      <c r="K482" s="2">
        <v>3500</v>
      </c>
      <c r="L482" s="2">
        <v>45500</v>
      </c>
      <c r="M482" s="2">
        <v>28600</v>
      </c>
      <c r="N482" s="2" t="s">
        <v>22</v>
      </c>
      <c r="O482" s="2" t="s">
        <v>43</v>
      </c>
      <c r="P482" s="2" t="s">
        <v>44</v>
      </c>
    </row>
    <row r="483" spans="1:16" x14ac:dyDescent="0.25">
      <c r="A483" s="3" t="s">
        <v>815</v>
      </c>
      <c r="B483" s="3" t="s">
        <v>751</v>
      </c>
      <c r="C483" s="3" t="s">
        <v>77</v>
      </c>
      <c r="D483" s="3" t="s">
        <v>40</v>
      </c>
      <c r="E483" s="3" t="s">
        <v>53</v>
      </c>
      <c r="F483" s="3" t="s">
        <v>82</v>
      </c>
      <c r="G483" s="3">
        <v>6</v>
      </c>
      <c r="H483" s="3">
        <v>4000</v>
      </c>
      <c r="I483" s="3">
        <v>15</v>
      </c>
      <c r="J483" s="3">
        <v>20400</v>
      </c>
      <c r="K483" s="3">
        <v>2500</v>
      </c>
      <c r="L483" s="3">
        <v>15000</v>
      </c>
      <c r="M483" s="3">
        <v>5400</v>
      </c>
      <c r="N483" s="3" t="s">
        <v>22</v>
      </c>
      <c r="O483" s="3" t="s">
        <v>30</v>
      </c>
      <c r="P483" s="3" t="s">
        <v>44</v>
      </c>
    </row>
    <row r="484" spans="1:16" x14ac:dyDescent="0.25">
      <c r="A484" s="2" t="s">
        <v>816</v>
      </c>
      <c r="B484" s="2" t="s">
        <v>817</v>
      </c>
      <c r="C484" s="2" t="s">
        <v>18</v>
      </c>
      <c r="D484" s="2" t="s">
        <v>74</v>
      </c>
      <c r="E484" s="2" t="s">
        <v>34</v>
      </c>
      <c r="F484" s="2" t="s">
        <v>89</v>
      </c>
      <c r="G484" s="2">
        <v>18</v>
      </c>
      <c r="H484" s="2">
        <v>4500</v>
      </c>
      <c r="I484" s="2">
        <v>0</v>
      </c>
      <c r="J484" s="2">
        <v>81000</v>
      </c>
      <c r="K484" s="2">
        <v>2500</v>
      </c>
      <c r="L484" s="2">
        <v>45000</v>
      </c>
      <c r="M484" s="2">
        <v>36000</v>
      </c>
      <c r="N484" s="2" t="s">
        <v>42</v>
      </c>
      <c r="O484" s="2" t="s">
        <v>30</v>
      </c>
      <c r="P484" s="2" t="s">
        <v>44</v>
      </c>
    </row>
    <row r="485" spans="1:16" x14ac:dyDescent="0.25">
      <c r="A485" s="3" t="s">
        <v>818</v>
      </c>
      <c r="B485" s="3" t="s">
        <v>819</v>
      </c>
      <c r="C485" s="3" t="s">
        <v>63</v>
      </c>
      <c r="D485" s="3" t="s">
        <v>27</v>
      </c>
      <c r="E485" s="3" t="s">
        <v>34</v>
      </c>
      <c r="F485" s="3" t="s">
        <v>35</v>
      </c>
      <c r="G485" s="3">
        <v>13</v>
      </c>
      <c r="H485" s="3">
        <v>6000</v>
      </c>
      <c r="I485" s="3">
        <v>10</v>
      </c>
      <c r="J485" s="3">
        <v>70200</v>
      </c>
      <c r="K485" s="3">
        <v>3500</v>
      </c>
      <c r="L485" s="3">
        <v>45500</v>
      </c>
      <c r="M485" s="3">
        <v>24700</v>
      </c>
      <c r="N485" s="3" t="s">
        <v>22</v>
      </c>
      <c r="O485" s="3" t="s">
        <v>66</v>
      </c>
      <c r="P485" s="3" t="s">
        <v>44</v>
      </c>
    </row>
    <row r="486" spans="1:16" x14ac:dyDescent="0.25">
      <c r="A486" s="2" t="s">
        <v>820</v>
      </c>
      <c r="B486" s="2" t="s">
        <v>821</v>
      </c>
      <c r="C486" s="2" t="s">
        <v>33</v>
      </c>
      <c r="D486" s="2" t="s">
        <v>159</v>
      </c>
      <c r="E486" s="2" t="s">
        <v>20</v>
      </c>
      <c r="F486" s="2" t="s">
        <v>137</v>
      </c>
      <c r="G486" s="2">
        <v>18</v>
      </c>
      <c r="H486" s="2">
        <v>15000</v>
      </c>
      <c r="I486" s="2">
        <v>15</v>
      </c>
      <c r="J486" s="2">
        <v>229500</v>
      </c>
      <c r="K486" s="2">
        <v>10000</v>
      </c>
      <c r="L486" s="2">
        <v>180000</v>
      </c>
      <c r="M486" s="2">
        <v>49500</v>
      </c>
      <c r="N486" s="2" t="s">
        <v>42</v>
      </c>
      <c r="O486" s="2" t="s">
        <v>36</v>
      </c>
      <c r="P486" s="2" t="s">
        <v>44</v>
      </c>
    </row>
    <row r="487" spans="1:16" x14ac:dyDescent="0.25">
      <c r="A487" s="3" t="s">
        <v>822</v>
      </c>
      <c r="B487" s="3" t="s">
        <v>823</v>
      </c>
      <c r="C487" s="3" t="s">
        <v>47</v>
      </c>
      <c r="D487" s="3" t="s">
        <v>159</v>
      </c>
      <c r="E487" s="3" t="s">
        <v>53</v>
      </c>
      <c r="F487" s="3" t="s">
        <v>82</v>
      </c>
      <c r="G487" s="3">
        <v>13</v>
      </c>
      <c r="H487" s="3">
        <v>4000</v>
      </c>
      <c r="I487" s="3">
        <v>25</v>
      </c>
      <c r="J487" s="3">
        <v>39000</v>
      </c>
      <c r="K487" s="3">
        <v>2500</v>
      </c>
      <c r="L487" s="3">
        <v>32500</v>
      </c>
      <c r="M487" s="3">
        <v>6500</v>
      </c>
      <c r="N487" s="3" t="s">
        <v>22</v>
      </c>
      <c r="O487" s="3" t="s">
        <v>23</v>
      </c>
      <c r="P487" s="3" t="s">
        <v>86</v>
      </c>
    </row>
    <row r="488" spans="1:16" x14ac:dyDescent="0.25">
      <c r="A488" s="2" t="s">
        <v>824</v>
      </c>
      <c r="B488" s="2" t="s">
        <v>267</v>
      </c>
      <c r="C488" s="2" t="s">
        <v>100</v>
      </c>
      <c r="D488" s="2" t="s">
        <v>159</v>
      </c>
      <c r="E488" s="2" t="s">
        <v>34</v>
      </c>
      <c r="F488" s="2" t="s">
        <v>35</v>
      </c>
      <c r="G488" s="2">
        <v>19</v>
      </c>
      <c r="H488" s="2">
        <v>6000</v>
      </c>
      <c r="I488" s="2">
        <v>10</v>
      </c>
      <c r="J488" s="2">
        <v>102600</v>
      </c>
      <c r="K488" s="2">
        <v>3500</v>
      </c>
      <c r="L488" s="2">
        <v>66500</v>
      </c>
      <c r="M488" s="2">
        <v>36100</v>
      </c>
      <c r="N488" s="2" t="s">
        <v>42</v>
      </c>
      <c r="O488" s="2" t="s">
        <v>30</v>
      </c>
      <c r="P488" s="2" t="s">
        <v>44</v>
      </c>
    </row>
    <row r="489" spans="1:16" x14ac:dyDescent="0.25">
      <c r="A489" s="3" t="s">
        <v>825</v>
      </c>
      <c r="B489" s="3" t="s">
        <v>797</v>
      </c>
      <c r="C489" s="3" t="s">
        <v>47</v>
      </c>
      <c r="D489" s="3" t="s">
        <v>48</v>
      </c>
      <c r="E489" s="3" t="s">
        <v>93</v>
      </c>
      <c r="F489" s="3" t="s">
        <v>188</v>
      </c>
      <c r="G489" s="3">
        <v>14</v>
      </c>
      <c r="H489" s="3">
        <v>1500</v>
      </c>
      <c r="I489" s="3">
        <v>20</v>
      </c>
      <c r="J489" s="3">
        <v>16800</v>
      </c>
      <c r="K489" s="3">
        <v>1100</v>
      </c>
      <c r="L489" s="3">
        <v>15400</v>
      </c>
      <c r="M489" s="3">
        <v>1400</v>
      </c>
      <c r="N489" s="3" t="s">
        <v>42</v>
      </c>
      <c r="O489" s="3" t="s">
        <v>36</v>
      </c>
      <c r="P489" s="3" t="s">
        <v>44</v>
      </c>
    </row>
    <row r="490" spans="1:16" x14ac:dyDescent="0.25">
      <c r="A490" s="2" t="s">
        <v>826</v>
      </c>
      <c r="B490" s="2" t="s">
        <v>121</v>
      </c>
      <c r="C490" s="2" t="s">
        <v>122</v>
      </c>
      <c r="D490" s="2" t="s">
        <v>48</v>
      </c>
      <c r="E490" s="2" t="s">
        <v>20</v>
      </c>
      <c r="F490" s="2" t="s">
        <v>137</v>
      </c>
      <c r="G490" s="2">
        <v>12</v>
      </c>
      <c r="H490" s="2">
        <v>15000</v>
      </c>
      <c r="I490" s="2">
        <v>25</v>
      </c>
      <c r="J490" s="2">
        <v>135000</v>
      </c>
      <c r="K490" s="2">
        <v>10000</v>
      </c>
      <c r="L490" s="2">
        <v>120000</v>
      </c>
      <c r="M490" s="2">
        <v>15000</v>
      </c>
      <c r="N490" s="2" t="s">
        <v>42</v>
      </c>
      <c r="O490" s="2" t="s">
        <v>23</v>
      </c>
      <c r="P490" s="2" t="s">
        <v>44</v>
      </c>
    </row>
    <row r="491" spans="1:16" x14ac:dyDescent="0.25">
      <c r="A491" s="3" t="s">
        <v>827</v>
      </c>
      <c r="B491" s="3" t="s">
        <v>801</v>
      </c>
      <c r="C491" s="3" t="s">
        <v>18</v>
      </c>
      <c r="D491" s="3" t="s">
        <v>64</v>
      </c>
      <c r="E491" s="3" t="s">
        <v>93</v>
      </c>
      <c r="F491" s="3" t="s">
        <v>188</v>
      </c>
      <c r="G491" s="3">
        <v>4</v>
      </c>
      <c r="H491" s="3">
        <v>1500</v>
      </c>
      <c r="I491" s="3">
        <v>5</v>
      </c>
      <c r="J491" s="3">
        <v>5700</v>
      </c>
      <c r="K491" s="3">
        <v>1100</v>
      </c>
      <c r="L491" s="3">
        <v>4400</v>
      </c>
      <c r="M491" s="3">
        <v>1300</v>
      </c>
      <c r="N491" s="3" t="s">
        <v>42</v>
      </c>
      <c r="O491" s="3" t="s">
        <v>55</v>
      </c>
      <c r="P491" s="3" t="s">
        <v>86</v>
      </c>
    </row>
    <row r="492" spans="1:16" x14ac:dyDescent="0.25">
      <c r="A492" s="2" t="s">
        <v>828</v>
      </c>
      <c r="B492" s="2" t="s">
        <v>308</v>
      </c>
      <c r="C492" s="2" t="s">
        <v>104</v>
      </c>
      <c r="D492" s="2" t="s">
        <v>40</v>
      </c>
      <c r="E492" s="2" t="s">
        <v>93</v>
      </c>
      <c r="F492" s="2" t="s">
        <v>119</v>
      </c>
      <c r="G492" s="2">
        <v>3</v>
      </c>
      <c r="H492" s="2">
        <v>800</v>
      </c>
      <c r="I492" s="2">
        <v>5</v>
      </c>
      <c r="J492" s="2">
        <v>2280</v>
      </c>
      <c r="K492" s="2">
        <v>600</v>
      </c>
      <c r="L492" s="2">
        <v>1800</v>
      </c>
      <c r="M492" s="2">
        <v>480</v>
      </c>
      <c r="N492" s="2" t="s">
        <v>42</v>
      </c>
      <c r="O492" s="2" t="s">
        <v>30</v>
      </c>
      <c r="P492" s="2" t="s">
        <v>44</v>
      </c>
    </row>
    <row r="493" spans="1:16" x14ac:dyDescent="0.25">
      <c r="A493" s="3" t="s">
        <v>829</v>
      </c>
      <c r="B493" s="3" t="s">
        <v>76</v>
      </c>
      <c r="C493" s="3" t="s">
        <v>39</v>
      </c>
      <c r="D493" s="3" t="s">
        <v>64</v>
      </c>
      <c r="E493" s="3" t="s">
        <v>20</v>
      </c>
      <c r="F493" s="3" t="s">
        <v>65</v>
      </c>
      <c r="G493" s="3">
        <v>20</v>
      </c>
      <c r="H493" s="3">
        <v>18000</v>
      </c>
      <c r="I493" s="3">
        <v>0</v>
      </c>
      <c r="J493" s="3">
        <v>360000</v>
      </c>
      <c r="K493" s="3">
        <v>12000</v>
      </c>
      <c r="L493" s="3">
        <v>240000</v>
      </c>
      <c r="M493" s="3">
        <v>120000</v>
      </c>
      <c r="N493" s="3" t="s">
        <v>42</v>
      </c>
      <c r="O493" s="3" t="s">
        <v>66</v>
      </c>
      <c r="P493" s="3" t="s">
        <v>24</v>
      </c>
    </row>
    <row r="494" spans="1:16" x14ac:dyDescent="0.25">
      <c r="A494" s="2" t="s">
        <v>830</v>
      </c>
      <c r="B494" s="2" t="s">
        <v>161</v>
      </c>
      <c r="C494" s="2" t="s">
        <v>39</v>
      </c>
      <c r="D494" s="2" t="s">
        <v>19</v>
      </c>
      <c r="E494" s="2" t="s">
        <v>34</v>
      </c>
      <c r="F494" s="2" t="s">
        <v>35</v>
      </c>
      <c r="G494" s="2">
        <v>15</v>
      </c>
      <c r="H494" s="2">
        <v>6000</v>
      </c>
      <c r="I494" s="2">
        <v>0</v>
      </c>
      <c r="J494" s="2">
        <v>90000</v>
      </c>
      <c r="K494" s="2">
        <v>3500</v>
      </c>
      <c r="L494" s="2">
        <v>52500</v>
      </c>
      <c r="M494" s="2">
        <v>37500</v>
      </c>
      <c r="N494" s="2" t="s">
        <v>22</v>
      </c>
      <c r="O494" s="2" t="s">
        <v>23</v>
      </c>
      <c r="P494" s="2" t="s">
        <v>95</v>
      </c>
    </row>
    <row r="495" spans="1:16" x14ac:dyDescent="0.25">
      <c r="A495" s="3" t="s">
        <v>831</v>
      </c>
      <c r="B495" s="3" t="s">
        <v>414</v>
      </c>
      <c r="C495" s="3" t="s">
        <v>39</v>
      </c>
      <c r="D495" s="3" t="s">
        <v>64</v>
      </c>
      <c r="E495" s="3" t="s">
        <v>28</v>
      </c>
      <c r="F495" s="3" t="s">
        <v>127</v>
      </c>
      <c r="G495" s="3">
        <v>17</v>
      </c>
      <c r="H495" s="3">
        <v>15000</v>
      </c>
      <c r="I495" s="3">
        <v>20</v>
      </c>
      <c r="J495" s="3">
        <v>204000</v>
      </c>
      <c r="K495" s="3">
        <v>10000</v>
      </c>
      <c r="L495" s="3">
        <v>170000</v>
      </c>
      <c r="M495" s="3">
        <v>34000</v>
      </c>
      <c r="N495" s="3" t="s">
        <v>22</v>
      </c>
      <c r="O495" s="3" t="s">
        <v>30</v>
      </c>
      <c r="P495" s="3" t="s">
        <v>44</v>
      </c>
    </row>
    <row r="496" spans="1:16" x14ac:dyDescent="0.25">
      <c r="A496" s="2" t="s">
        <v>832</v>
      </c>
      <c r="B496" s="2" t="s">
        <v>833</v>
      </c>
      <c r="C496" s="2" t="s">
        <v>100</v>
      </c>
      <c r="D496" s="2" t="s">
        <v>64</v>
      </c>
      <c r="E496" s="2" t="s">
        <v>28</v>
      </c>
      <c r="F496" s="2" t="s">
        <v>116</v>
      </c>
      <c r="G496" s="2">
        <v>3</v>
      </c>
      <c r="H496" s="2">
        <v>85000</v>
      </c>
      <c r="I496" s="2">
        <v>10</v>
      </c>
      <c r="J496" s="2">
        <v>229500</v>
      </c>
      <c r="K496" s="2">
        <v>65000</v>
      </c>
      <c r="L496" s="2">
        <v>195000</v>
      </c>
      <c r="M496" s="2">
        <v>34500</v>
      </c>
      <c r="N496" s="2" t="s">
        <v>42</v>
      </c>
      <c r="O496" s="2" t="s">
        <v>55</v>
      </c>
      <c r="P496" s="2" t="s">
        <v>24</v>
      </c>
    </row>
    <row r="497" spans="1:16" x14ac:dyDescent="0.25">
      <c r="A497" s="3" t="s">
        <v>834</v>
      </c>
      <c r="B497" s="3" t="s">
        <v>394</v>
      </c>
      <c r="C497" s="3" t="s">
        <v>47</v>
      </c>
      <c r="D497" s="3" t="s">
        <v>64</v>
      </c>
      <c r="E497" s="3" t="s">
        <v>53</v>
      </c>
      <c r="F497" s="3" t="s">
        <v>82</v>
      </c>
      <c r="G497" s="3">
        <v>3</v>
      </c>
      <c r="H497" s="3">
        <v>4000</v>
      </c>
      <c r="I497" s="3">
        <v>0</v>
      </c>
      <c r="J497" s="3">
        <v>12000</v>
      </c>
      <c r="K497" s="3">
        <v>2500</v>
      </c>
      <c r="L497" s="3">
        <v>7500</v>
      </c>
      <c r="M497" s="3">
        <v>4500</v>
      </c>
      <c r="N497" s="3" t="s">
        <v>42</v>
      </c>
      <c r="O497" s="3" t="s">
        <v>23</v>
      </c>
      <c r="P497" s="3" t="s">
        <v>86</v>
      </c>
    </row>
    <row r="498" spans="1:16" x14ac:dyDescent="0.25">
      <c r="A498" s="2" t="s">
        <v>835</v>
      </c>
      <c r="B498" s="2" t="s">
        <v>697</v>
      </c>
      <c r="C498" s="2" t="s">
        <v>100</v>
      </c>
      <c r="D498" s="2" t="s">
        <v>52</v>
      </c>
      <c r="E498" s="2" t="s">
        <v>20</v>
      </c>
      <c r="F498" s="2" t="s">
        <v>21</v>
      </c>
      <c r="G498" s="2">
        <v>20</v>
      </c>
      <c r="H498" s="2">
        <v>3500</v>
      </c>
      <c r="I498" s="2">
        <v>5</v>
      </c>
      <c r="J498" s="2">
        <v>66500</v>
      </c>
      <c r="K498" s="2">
        <v>2000</v>
      </c>
      <c r="L498" s="2">
        <v>40000</v>
      </c>
      <c r="M498" s="2">
        <v>26500</v>
      </c>
      <c r="N498" s="2" t="s">
        <v>42</v>
      </c>
      <c r="O498" s="2" t="s">
        <v>66</v>
      </c>
      <c r="P498" s="2" t="s">
        <v>44</v>
      </c>
    </row>
    <row r="499" spans="1:16" x14ac:dyDescent="0.25">
      <c r="A499" s="3" t="s">
        <v>836</v>
      </c>
      <c r="B499" s="3" t="s">
        <v>156</v>
      </c>
      <c r="C499" s="3" t="s">
        <v>92</v>
      </c>
      <c r="D499" s="3" t="s">
        <v>27</v>
      </c>
      <c r="E499" s="3" t="s">
        <v>53</v>
      </c>
      <c r="F499" s="3" t="s">
        <v>82</v>
      </c>
      <c r="G499" s="3">
        <v>18</v>
      </c>
      <c r="H499" s="3">
        <v>4000</v>
      </c>
      <c r="I499" s="3">
        <v>0</v>
      </c>
      <c r="J499" s="3">
        <v>72000</v>
      </c>
      <c r="K499" s="3">
        <v>2500</v>
      </c>
      <c r="L499" s="3">
        <v>45000</v>
      </c>
      <c r="M499" s="3">
        <v>27000</v>
      </c>
      <c r="N499" s="3" t="s">
        <v>42</v>
      </c>
      <c r="O499" s="3" t="s">
        <v>55</v>
      </c>
      <c r="P499" s="3" t="s">
        <v>95</v>
      </c>
    </row>
    <row r="500" spans="1:16" x14ac:dyDescent="0.25">
      <c r="A500" s="2" t="s">
        <v>837</v>
      </c>
      <c r="B500" s="2" t="s">
        <v>329</v>
      </c>
      <c r="C500" s="2" t="s">
        <v>39</v>
      </c>
      <c r="D500" s="2" t="s">
        <v>48</v>
      </c>
      <c r="E500" s="2" t="s">
        <v>93</v>
      </c>
      <c r="F500" s="2" t="s">
        <v>109</v>
      </c>
      <c r="G500" s="2">
        <v>19</v>
      </c>
      <c r="H500" s="2">
        <v>700</v>
      </c>
      <c r="I500" s="2">
        <v>15</v>
      </c>
      <c r="J500" s="2">
        <v>11305</v>
      </c>
      <c r="K500" s="2">
        <v>500</v>
      </c>
      <c r="L500" s="2">
        <v>9500</v>
      </c>
      <c r="M500" s="2">
        <v>1805</v>
      </c>
      <c r="N500" s="2" t="s">
        <v>22</v>
      </c>
      <c r="O500" s="2" t="s">
        <v>55</v>
      </c>
      <c r="P500" s="2" t="s">
        <v>95</v>
      </c>
    </row>
    <row r="501" spans="1:16" x14ac:dyDescent="0.25">
      <c r="A501" s="3" t="s">
        <v>838</v>
      </c>
      <c r="B501" s="3" t="s">
        <v>386</v>
      </c>
      <c r="C501" s="3" t="s">
        <v>122</v>
      </c>
      <c r="D501" s="3" t="s">
        <v>19</v>
      </c>
      <c r="E501" s="3" t="s">
        <v>93</v>
      </c>
      <c r="F501" s="3" t="s">
        <v>119</v>
      </c>
      <c r="G501" s="3">
        <v>9</v>
      </c>
      <c r="H501" s="3">
        <v>800</v>
      </c>
      <c r="I501" s="3">
        <v>0</v>
      </c>
      <c r="J501" s="3">
        <v>7200</v>
      </c>
      <c r="K501" s="3">
        <v>600</v>
      </c>
      <c r="L501" s="3">
        <v>5400</v>
      </c>
      <c r="M501" s="3">
        <v>1800</v>
      </c>
      <c r="N501" s="3" t="s">
        <v>42</v>
      </c>
      <c r="O501" s="3" t="s">
        <v>23</v>
      </c>
      <c r="P501" s="3" t="s">
        <v>86</v>
      </c>
    </row>
  </sheetData>
  <autoFilter ref="A1:P5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2"/>
  <sheetViews>
    <sheetView topLeftCell="C1" zoomScale="85" zoomScaleNormal="85" workbookViewId="0">
      <pane ySplit="1" topLeftCell="A436" activePane="bottomLeft" state="frozen"/>
      <selection pane="bottomLeft" activeCell="A34" sqref="A34"/>
    </sheetView>
  </sheetViews>
  <sheetFormatPr defaultRowHeight="15" x14ac:dyDescent="0.25"/>
  <cols>
    <col min="1" max="1" width="14.28515625" bestFit="1" customWidth="1"/>
    <col min="2" max="2" width="16.28515625" customWidth="1"/>
    <col min="3" max="3" width="12" style="22" bestFit="1" customWidth="1"/>
    <col min="4" max="4" width="13.42578125" style="22" bestFit="1" customWidth="1"/>
    <col min="5" max="5" width="10.28515625" bestFit="1" customWidth="1"/>
    <col min="6" max="6" width="14.5703125" bestFit="1" customWidth="1"/>
    <col min="7" max="7" width="12.85546875" bestFit="1" customWidth="1"/>
    <col min="8" max="8" width="15.7109375" bestFit="1" customWidth="1"/>
    <col min="9" max="9" width="20" bestFit="1" customWidth="1"/>
    <col min="10" max="10" width="16" bestFit="1" customWidth="1"/>
    <col min="11" max="11" width="19.140625" customWidth="1"/>
    <col min="12" max="12" width="17" bestFit="1" customWidth="1"/>
    <col min="13" max="13" width="20.7109375" bestFit="1" customWidth="1"/>
    <col min="14" max="14" width="20.7109375" customWidth="1"/>
    <col min="15" max="15" width="22.5703125" bestFit="1" customWidth="1"/>
    <col min="16" max="16" width="22.85546875" bestFit="1" customWidth="1"/>
    <col min="17" max="17" width="17.85546875" bestFit="1" customWidth="1"/>
    <col min="18" max="18" width="21.140625" bestFit="1" customWidth="1"/>
    <col min="19" max="19" width="19" customWidth="1"/>
    <col min="20" max="20" width="22.7109375" bestFit="1" customWidth="1"/>
    <col min="21" max="21" width="21.140625" bestFit="1" customWidth="1"/>
    <col min="22" max="22" width="10.28515625" hidden="1" customWidth="1"/>
    <col min="23" max="23" width="21.140625" customWidth="1"/>
    <col min="26" max="26" width="9.28515625" customWidth="1"/>
  </cols>
  <sheetData>
    <row r="1" spans="1:22" ht="30" x14ac:dyDescent="0.25">
      <c r="A1" s="8" t="s">
        <v>0</v>
      </c>
      <c r="B1" s="14" t="s">
        <v>1</v>
      </c>
      <c r="C1" s="9" t="s">
        <v>840</v>
      </c>
      <c r="D1" s="9" t="s">
        <v>841</v>
      </c>
      <c r="E1" s="9" t="s">
        <v>842</v>
      </c>
      <c r="F1" s="9" t="s">
        <v>2</v>
      </c>
      <c r="G1" s="9" t="s">
        <v>3</v>
      </c>
      <c r="H1" s="9" t="s">
        <v>4</v>
      </c>
      <c r="I1" s="9" t="s">
        <v>5</v>
      </c>
      <c r="J1" s="9" t="s">
        <v>6</v>
      </c>
      <c r="K1" s="9" t="s">
        <v>7</v>
      </c>
      <c r="L1" s="9" t="s">
        <v>8</v>
      </c>
      <c r="M1" s="9" t="s">
        <v>9</v>
      </c>
      <c r="N1" s="9" t="s">
        <v>843</v>
      </c>
      <c r="O1" s="9" t="s">
        <v>10</v>
      </c>
      <c r="P1" s="9" t="s">
        <v>11</v>
      </c>
      <c r="Q1" s="9" t="s">
        <v>12</v>
      </c>
      <c r="R1" s="9" t="s">
        <v>13</v>
      </c>
      <c r="S1" s="9" t="s">
        <v>844</v>
      </c>
      <c r="T1" s="9" t="s">
        <v>14</v>
      </c>
      <c r="U1" s="10" t="s">
        <v>15</v>
      </c>
      <c r="V1" s="18" t="s">
        <v>839</v>
      </c>
    </row>
    <row r="2" spans="1:22" ht="19.5" customHeight="1" x14ac:dyDescent="0.25">
      <c r="A2" s="4" t="s">
        <v>16</v>
      </c>
      <c r="B2" s="15">
        <f>DATEVALUE(Table1[[#This Row],[Date2]])</f>
        <v>45619</v>
      </c>
      <c r="C2" s="2" t="str">
        <f>TEXT(Table1[[#This Row],[Date]],"MMM")</f>
        <v>Nov</v>
      </c>
      <c r="D2" s="2" t="str">
        <f>"Q"&amp;ROUNDUP(MONTH(Table1[[#This Row],[Date]])/3,0)</f>
        <v>Q4</v>
      </c>
      <c r="E2" s="2">
        <f>YEAR(Table1[[#This Row],[Date]])</f>
        <v>2024</v>
      </c>
      <c r="F2" s="2" t="s">
        <v>18</v>
      </c>
      <c r="G2" s="2" t="s">
        <v>19</v>
      </c>
      <c r="H2" s="2" t="s">
        <v>20</v>
      </c>
      <c r="I2" s="2" t="s">
        <v>21</v>
      </c>
      <c r="J2" s="2">
        <v>8</v>
      </c>
      <c r="K2" s="2">
        <v>3500</v>
      </c>
      <c r="L2" s="2">
        <v>5</v>
      </c>
      <c r="M2" s="2">
        <v>26600</v>
      </c>
      <c r="N2" s="23">
        <f>(Table1[[#This Row],[Profit (PKR)]]/Table1[[#This Row],[Total Revenue (PKR)]])</f>
        <v>0.39849624060150374</v>
      </c>
      <c r="O2" s="2">
        <v>2000</v>
      </c>
      <c r="P2" s="2">
        <v>16000</v>
      </c>
      <c r="Q2" s="2">
        <v>10600</v>
      </c>
      <c r="R2" s="2" t="s">
        <v>22</v>
      </c>
      <c r="S2" s="2" t="str">
        <f>IF(AND(Table1[[#This Row],[Total Revenue (PKR)]]&gt;50000, Table1[[#This Row],[Discount %]]&lt;10),"High Value","Standard")</f>
        <v>Standard</v>
      </c>
      <c r="T2" s="2" t="s">
        <v>23</v>
      </c>
      <c r="U2" s="6" t="s">
        <v>24</v>
      </c>
      <c r="V2" s="15" t="s">
        <v>17</v>
      </c>
    </row>
    <row r="3" spans="1:22" x14ac:dyDescent="0.25">
      <c r="A3" s="5" t="s">
        <v>25</v>
      </c>
      <c r="B3" s="16">
        <f>DATEVALUE(Table1[[#This Row],[Date2]])</f>
        <v>45571</v>
      </c>
      <c r="C3" s="3" t="str">
        <f>TEXT(Table1[[#This Row],[Date]],"MMM")</f>
        <v>Oct</v>
      </c>
      <c r="D3" s="3" t="str">
        <f>"Q"&amp;ROUNDUP(MONTH(Table1[[#This Row],[Date]])/3,0)</f>
        <v>Q4</v>
      </c>
      <c r="E3" s="3">
        <f>YEAR(Table1[[#This Row],[Date]])</f>
        <v>2024</v>
      </c>
      <c r="F3" s="3" t="s">
        <v>18</v>
      </c>
      <c r="G3" s="3" t="s">
        <v>27</v>
      </c>
      <c r="H3" s="3" t="s">
        <v>28</v>
      </c>
      <c r="I3" s="3" t="s">
        <v>29</v>
      </c>
      <c r="J3" s="3">
        <v>3</v>
      </c>
      <c r="K3" s="3">
        <v>25000</v>
      </c>
      <c r="L3" s="3">
        <v>5</v>
      </c>
      <c r="M3" s="3">
        <v>71250</v>
      </c>
      <c r="N3" s="24">
        <f>(Table1[[#This Row],[Profit (PKR)]]/Table1[[#This Row],[Total Revenue (PKR)]])</f>
        <v>0.24210526315789474</v>
      </c>
      <c r="O3" s="3">
        <v>18000</v>
      </c>
      <c r="P3" s="3">
        <v>54000</v>
      </c>
      <c r="Q3" s="3">
        <v>17250</v>
      </c>
      <c r="R3" s="3" t="s">
        <v>22</v>
      </c>
      <c r="S3" s="3" t="str">
        <f>IF(AND(Table1[[#This Row],[Total Revenue (PKR)]]&gt;50000, Table1[[#This Row],[Discount %]]&lt;10),"High Value","Standard")</f>
        <v>High Value</v>
      </c>
      <c r="T3" s="3" t="s">
        <v>30</v>
      </c>
      <c r="U3" s="7" t="s">
        <v>24</v>
      </c>
      <c r="V3" s="20" t="s">
        <v>26</v>
      </c>
    </row>
    <row r="4" spans="1:22" x14ac:dyDescent="0.25">
      <c r="A4" s="4" t="s">
        <v>31</v>
      </c>
      <c r="B4" s="15">
        <f>DATEVALUE(Table1[[#This Row],[Date2]])</f>
        <v>45579</v>
      </c>
      <c r="C4" s="2" t="str">
        <f>TEXT(Table1[[#This Row],[Date]],"MMM")</f>
        <v>Oct</v>
      </c>
      <c r="D4" s="2" t="str">
        <f>"Q"&amp;ROUNDUP(MONTH(Table1[[#This Row],[Date]])/3,0)</f>
        <v>Q4</v>
      </c>
      <c r="E4" s="2">
        <f>YEAR(Table1[[#This Row],[Date]])</f>
        <v>2024</v>
      </c>
      <c r="F4" s="2" t="s">
        <v>33</v>
      </c>
      <c r="G4" s="2" t="s">
        <v>27</v>
      </c>
      <c r="H4" s="2" t="s">
        <v>34</v>
      </c>
      <c r="I4" s="2" t="s">
        <v>35</v>
      </c>
      <c r="J4" s="2">
        <v>19</v>
      </c>
      <c r="K4" s="2">
        <v>6000</v>
      </c>
      <c r="L4" s="2">
        <v>10</v>
      </c>
      <c r="M4" s="2">
        <v>102600</v>
      </c>
      <c r="N4" s="23">
        <f>(Table1[[#This Row],[Profit (PKR)]]/Table1[[#This Row],[Total Revenue (PKR)]])</f>
        <v>0.35185185185185186</v>
      </c>
      <c r="O4" s="2">
        <v>3500</v>
      </c>
      <c r="P4" s="2">
        <v>66500</v>
      </c>
      <c r="Q4" s="2">
        <v>36100</v>
      </c>
      <c r="R4" s="2" t="s">
        <v>22</v>
      </c>
      <c r="S4" s="2" t="str">
        <f>IF(AND(Table1[[#This Row],[Total Revenue (PKR)]]&gt;50000, Table1[[#This Row],[Discount %]]&lt;10),"High Value","Standard")</f>
        <v>Standard</v>
      </c>
      <c r="T4" s="2" t="s">
        <v>36</v>
      </c>
      <c r="U4" s="6" t="s">
        <v>24</v>
      </c>
      <c r="V4" s="19" t="s">
        <v>32</v>
      </c>
    </row>
    <row r="5" spans="1:22" x14ac:dyDescent="0.25">
      <c r="A5" s="5" t="s">
        <v>37</v>
      </c>
      <c r="B5" s="16">
        <f>DATEVALUE(Table1[[#This Row],[Date2]])</f>
        <v>45466</v>
      </c>
      <c r="C5" s="3" t="str">
        <f>TEXT(Table1[[#This Row],[Date]],"MMM")</f>
        <v>Jun</v>
      </c>
      <c r="D5" s="3" t="str">
        <f>"Q"&amp;ROUNDUP(MONTH(Table1[[#This Row],[Date]])/3,0)</f>
        <v>Q2</v>
      </c>
      <c r="E5" s="3">
        <f>YEAR(Table1[[#This Row],[Date]])</f>
        <v>2024</v>
      </c>
      <c r="F5" s="3" t="s">
        <v>39</v>
      </c>
      <c r="G5" s="3" t="s">
        <v>40</v>
      </c>
      <c r="H5" s="3" t="s">
        <v>34</v>
      </c>
      <c r="I5" s="3" t="s">
        <v>41</v>
      </c>
      <c r="J5" s="3">
        <v>4</v>
      </c>
      <c r="K5" s="3">
        <v>3000</v>
      </c>
      <c r="L5" s="3">
        <v>0</v>
      </c>
      <c r="M5" s="3">
        <v>12000</v>
      </c>
      <c r="N5" s="24">
        <f>(Table1[[#This Row],[Profit (PKR)]]/Table1[[#This Row],[Total Revenue (PKR)]])</f>
        <v>0.5</v>
      </c>
      <c r="O5" s="3">
        <v>1500</v>
      </c>
      <c r="P5" s="3">
        <v>6000</v>
      </c>
      <c r="Q5" s="3">
        <v>6000</v>
      </c>
      <c r="R5" s="3" t="s">
        <v>42</v>
      </c>
      <c r="S5" s="3" t="str">
        <f>IF(AND(Table1[[#This Row],[Total Revenue (PKR)]]&gt;50000, Table1[[#This Row],[Discount %]]&lt;10),"High Value","Standard")</f>
        <v>Standard</v>
      </c>
      <c r="T5" s="3" t="s">
        <v>43</v>
      </c>
      <c r="U5" s="7" t="s">
        <v>44</v>
      </c>
      <c r="V5" s="20" t="s">
        <v>38</v>
      </c>
    </row>
    <row r="6" spans="1:22" x14ac:dyDescent="0.25">
      <c r="A6" s="4" t="s">
        <v>45</v>
      </c>
      <c r="B6" s="15">
        <f>DATEVALUE(Table1[[#This Row],[Date2]])</f>
        <v>45468</v>
      </c>
      <c r="C6" s="2" t="str">
        <f>TEXT(Table1[[#This Row],[Date]],"MMM")</f>
        <v>Jun</v>
      </c>
      <c r="D6" s="2" t="str">
        <f>"Q"&amp;ROUNDUP(MONTH(Table1[[#This Row],[Date]])/3,0)</f>
        <v>Q2</v>
      </c>
      <c r="E6" s="2">
        <f>YEAR(Table1[[#This Row],[Date]])</f>
        <v>2024</v>
      </c>
      <c r="F6" s="2" t="s">
        <v>47</v>
      </c>
      <c r="G6" s="2" t="s">
        <v>48</v>
      </c>
      <c r="H6" s="2" t="s">
        <v>28</v>
      </c>
      <c r="I6" s="2" t="s">
        <v>49</v>
      </c>
      <c r="J6" s="2">
        <v>18</v>
      </c>
      <c r="K6" s="2">
        <v>5000</v>
      </c>
      <c r="L6" s="2">
        <v>0</v>
      </c>
      <c r="M6" s="2">
        <v>90000</v>
      </c>
      <c r="N6" s="23">
        <f>(Table1[[#This Row],[Profit (PKR)]]/Table1[[#This Row],[Total Revenue (PKR)]])</f>
        <v>0.4</v>
      </c>
      <c r="O6" s="2">
        <v>3000</v>
      </c>
      <c r="P6" s="2">
        <v>54000</v>
      </c>
      <c r="Q6" s="2">
        <v>36000</v>
      </c>
      <c r="R6" s="2" t="s">
        <v>42</v>
      </c>
      <c r="S6" s="2" t="str">
        <f>IF(AND(Table1[[#This Row],[Total Revenue (PKR)]]&gt;50000, Table1[[#This Row],[Discount %]]&lt;10),"High Value","Standard")</f>
        <v>High Value</v>
      </c>
      <c r="T6" s="2" t="s">
        <v>43</v>
      </c>
      <c r="U6" s="6" t="s">
        <v>44</v>
      </c>
      <c r="V6" s="19" t="s">
        <v>46</v>
      </c>
    </row>
    <row r="7" spans="1:22" x14ac:dyDescent="0.25">
      <c r="A7" s="5" t="s">
        <v>50</v>
      </c>
      <c r="B7" s="16">
        <f>DATEVALUE(Table1[[#This Row],[Date2]])</f>
        <v>45613</v>
      </c>
      <c r="C7" s="3" t="str">
        <f>TEXT(Table1[[#This Row],[Date]],"MMM")</f>
        <v>Nov</v>
      </c>
      <c r="D7" s="3" t="str">
        <f>"Q"&amp;ROUNDUP(MONTH(Table1[[#This Row],[Date]])/3,0)</f>
        <v>Q4</v>
      </c>
      <c r="E7" s="3">
        <f>YEAR(Table1[[#This Row],[Date]])</f>
        <v>2024</v>
      </c>
      <c r="F7" s="3" t="s">
        <v>47</v>
      </c>
      <c r="G7" s="3" t="s">
        <v>52</v>
      </c>
      <c r="H7" s="3" t="s">
        <v>53</v>
      </c>
      <c r="I7" s="3" t="s">
        <v>54</v>
      </c>
      <c r="J7" s="3">
        <v>3</v>
      </c>
      <c r="K7" s="3">
        <v>2000</v>
      </c>
      <c r="L7" s="3">
        <v>0</v>
      </c>
      <c r="M7" s="3">
        <v>6000</v>
      </c>
      <c r="N7" s="24">
        <f>(Table1[[#This Row],[Profit (PKR)]]/Table1[[#This Row],[Total Revenue (PKR)]])</f>
        <v>0.4</v>
      </c>
      <c r="O7" s="3">
        <v>1200</v>
      </c>
      <c r="P7" s="3">
        <v>3600</v>
      </c>
      <c r="Q7" s="3">
        <v>2400</v>
      </c>
      <c r="R7" s="3" t="s">
        <v>22</v>
      </c>
      <c r="S7" s="3" t="str">
        <f>IF(AND(Table1[[#This Row],[Total Revenue (PKR)]]&gt;50000, Table1[[#This Row],[Discount %]]&lt;10),"High Value","Standard")</f>
        <v>Standard</v>
      </c>
      <c r="T7" s="3" t="s">
        <v>55</v>
      </c>
      <c r="U7" s="7" t="s">
        <v>56</v>
      </c>
      <c r="V7" s="20" t="s">
        <v>51</v>
      </c>
    </row>
    <row r="8" spans="1:22" x14ac:dyDescent="0.25">
      <c r="A8" s="4" t="s">
        <v>57</v>
      </c>
      <c r="B8" s="15">
        <f>DATEVALUE(Table1[[#This Row],[Date2]])</f>
        <v>45411</v>
      </c>
      <c r="C8" s="2" t="str">
        <f>TEXT(Table1[[#This Row],[Date]],"MMM")</f>
        <v>Apr</v>
      </c>
      <c r="D8" s="2" t="str">
        <f>"Q"&amp;ROUNDUP(MONTH(Table1[[#This Row],[Date]])/3,0)</f>
        <v>Q2</v>
      </c>
      <c r="E8" s="2">
        <f>YEAR(Table1[[#This Row],[Date]])</f>
        <v>2024</v>
      </c>
      <c r="F8" s="2" t="s">
        <v>18</v>
      </c>
      <c r="G8" s="2" t="s">
        <v>27</v>
      </c>
      <c r="H8" s="2" t="s">
        <v>20</v>
      </c>
      <c r="I8" s="2" t="s">
        <v>59</v>
      </c>
      <c r="J8" s="2">
        <v>12</v>
      </c>
      <c r="K8" s="2">
        <v>12000</v>
      </c>
      <c r="L8" s="2">
        <v>5</v>
      </c>
      <c r="M8" s="2">
        <v>136800</v>
      </c>
      <c r="N8" s="23">
        <f>(Table1[[#This Row],[Profit (PKR)]]/Table1[[#This Row],[Total Revenue (PKR)]])</f>
        <v>0.2982456140350877</v>
      </c>
      <c r="O8" s="2">
        <v>8000</v>
      </c>
      <c r="P8" s="2">
        <v>96000</v>
      </c>
      <c r="Q8" s="2">
        <v>40800</v>
      </c>
      <c r="R8" s="2" t="s">
        <v>42</v>
      </c>
      <c r="S8" s="2" t="str">
        <f>IF(AND(Table1[[#This Row],[Total Revenue (PKR)]]&gt;50000, Table1[[#This Row],[Discount %]]&lt;10),"High Value","Standard")</f>
        <v>High Value</v>
      </c>
      <c r="T8" s="2" t="s">
        <v>55</v>
      </c>
      <c r="U8" s="6" t="s">
        <v>44</v>
      </c>
      <c r="V8" s="19" t="s">
        <v>58</v>
      </c>
    </row>
    <row r="9" spans="1:22" x14ac:dyDescent="0.25">
      <c r="A9" s="5" t="s">
        <v>60</v>
      </c>
      <c r="B9" s="16">
        <f>DATEVALUE(Table1[[#This Row],[Date2]])</f>
        <v>45428</v>
      </c>
      <c r="C9" s="3" t="str">
        <f>TEXT(Table1[[#This Row],[Date]],"MMM")</f>
        <v>May</v>
      </c>
      <c r="D9" s="3" t="str">
        <f>"Q"&amp;ROUNDUP(MONTH(Table1[[#This Row],[Date]])/3,0)</f>
        <v>Q2</v>
      </c>
      <c r="E9" s="3">
        <f>YEAR(Table1[[#This Row],[Date]])</f>
        <v>2024</v>
      </c>
      <c r="F9" s="3" t="s">
        <v>18</v>
      </c>
      <c r="G9" s="3" t="s">
        <v>40</v>
      </c>
      <c r="H9" s="3" t="s">
        <v>53</v>
      </c>
      <c r="I9" s="3" t="s">
        <v>54</v>
      </c>
      <c r="J9" s="3">
        <v>6</v>
      </c>
      <c r="K9" s="3">
        <v>2000</v>
      </c>
      <c r="L9" s="3">
        <v>15</v>
      </c>
      <c r="M9" s="3">
        <v>10200</v>
      </c>
      <c r="N9" s="24">
        <f>(Table1[[#This Row],[Profit (PKR)]]/Table1[[#This Row],[Total Revenue (PKR)]])</f>
        <v>0.29411764705882354</v>
      </c>
      <c r="O9" s="3">
        <v>1200</v>
      </c>
      <c r="P9" s="3">
        <v>7200</v>
      </c>
      <c r="Q9" s="3">
        <v>3000</v>
      </c>
      <c r="R9" s="3" t="s">
        <v>42</v>
      </c>
      <c r="S9" s="3" t="str">
        <f>IF(AND(Table1[[#This Row],[Total Revenue (PKR)]]&gt;50000, Table1[[#This Row],[Discount %]]&lt;10),"High Value","Standard")</f>
        <v>Standard</v>
      </c>
      <c r="T9" s="3" t="s">
        <v>55</v>
      </c>
      <c r="U9" s="7" t="s">
        <v>56</v>
      </c>
      <c r="V9" s="20" t="s">
        <v>61</v>
      </c>
    </row>
    <row r="10" spans="1:22" x14ac:dyDescent="0.25">
      <c r="A10" s="4" t="s">
        <v>62</v>
      </c>
      <c r="B10" s="15">
        <f>DATEVALUE(Table1[[#This Row],[Date2]])</f>
        <v>45619</v>
      </c>
      <c r="C10" s="2" t="str">
        <f>TEXT(Table1[[#This Row],[Date]],"MMM")</f>
        <v>Nov</v>
      </c>
      <c r="D10" s="2" t="str">
        <f>"Q"&amp;ROUNDUP(MONTH(Table1[[#This Row],[Date]])/3,0)</f>
        <v>Q4</v>
      </c>
      <c r="E10" s="2">
        <f>YEAR(Table1[[#This Row],[Date]])</f>
        <v>2024</v>
      </c>
      <c r="F10" s="2" t="s">
        <v>63</v>
      </c>
      <c r="G10" s="2" t="s">
        <v>64</v>
      </c>
      <c r="H10" s="2" t="s">
        <v>20</v>
      </c>
      <c r="I10" s="2" t="s">
        <v>65</v>
      </c>
      <c r="J10" s="2">
        <v>8</v>
      </c>
      <c r="K10" s="2">
        <v>18000</v>
      </c>
      <c r="L10" s="2">
        <v>0</v>
      </c>
      <c r="M10" s="2">
        <v>144000</v>
      </c>
      <c r="N10" s="23">
        <f>(Table1[[#This Row],[Profit (PKR)]]/Table1[[#This Row],[Total Revenue (PKR)]])</f>
        <v>0.33333333333333331</v>
      </c>
      <c r="O10" s="2">
        <v>12000</v>
      </c>
      <c r="P10" s="2">
        <v>96000</v>
      </c>
      <c r="Q10" s="2">
        <v>48000</v>
      </c>
      <c r="R10" s="2" t="s">
        <v>42</v>
      </c>
      <c r="S10" s="2" t="str">
        <f>IF(AND(Table1[[#This Row],[Total Revenue (PKR)]]&gt;50000, Table1[[#This Row],[Discount %]]&lt;10),"High Value","Standard")</f>
        <v>High Value</v>
      </c>
      <c r="T10" s="2" t="s">
        <v>66</v>
      </c>
      <c r="U10" s="6" t="s">
        <v>44</v>
      </c>
      <c r="V10" s="19" t="s">
        <v>17</v>
      </c>
    </row>
    <row r="11" spans="1:22" x14ac:dyDescent="0.25">
      <c r="A11" s="5" t="s">
        <v>67</v>
      </c>
      <c r="B11" s="16">
        <f>DATEVALUE(Table1[[#This Row],[Date2]])</f>
        <v>45400</v>
      </c>
      <c r="C11" s="3" t="str">
        <f>TEXT(Table1[[#This Row],[Date]],"MMM")</f>
        <v>Apr</v>
      </c>
      <c r="D11" s="3" t="str">
        <f>"Q"&amp;ROUNDUP(MONTH(Table1[[#This Row],[Date]])/3,0)</f>
        <v>Q2</v>
      </c>
      <c r="E11" s="3">
        <f>YEAR(Table1[[#This Row],[Date]])</f>
        <v>2024</v>
      </c>
      <c r="F11" s="3" t="s">
        <v>47</v>
      </c>
      <c r="G11" s="3" t="s">
        <v>52</v>
      </c>
      <c r="H11" s="3" t="s">
        <v>34</v>
      </c>
      <c r="I11" s="3" t="s">
        <v>35</v>
      </c>
      <c r="J11" s="3">
        <v>13</v>
      </c>
      <c r="K11" s="3">
        <v>6000</v>
      </c>
      <c r="L11" s="3">
        <v>25</v>
      </c>
      <c r="M11" s="3">
        <v>58500</v>
      </c>
      <c r="N11" s="24">
        <f>(Table1[[#This Row],[Profit (PKR)]]/Table1[[#This Row],[Total Revenue (PKR)]])</f>
        <v>0.22222222222222221</v>
      </c>
      <c r="O11" s="3">
        <v>3500</v>
      </c>
      <c r="P11" s="3">
        <v>45500</v>
      </c>
      <c r="Q11" s="3">
        <v>13000</v>
      </c>
      <c r="R11" s="3" t="s">
        <v>42</v>
      </c>
      <c r="S11" s="3" t="str">
        <f>IF(AND(Table1[[#This Row],[Total Revenue (PKR)]]&gt;50000, Table1[[#This Row],[Discount %]]&lt;10),"High Value","Standard")</f>
        <v>Standard</v>
      </c>
      <c r="T11" s="3" t="s">
        <v>36</v>
      </c>
      <c r="U11" s="7" t="s">
        <v>44</v>
      </c>
      <c r="V11" s="20" t="s">
        <v>68</v>
      </c>
    </row>
    <row r="12" spans="1:22" x14ac:dyDescent="0.25">
      <c r="A12" s="4" t="s">
        <v>69</v>
      </c>
      <c r="B12" s="15">
        <f>DATEVALUE(Table1[[#This Row],[Date2]])</f>
        <v>45418</v>
      </c>
      <c r="C12" s="2" t="str">
        <f>TEXT(Table1[[#This Row],[Date]],"MMM")</f>
        <v>May</v>
      </c>
      <c r="D12" s="2" t="str">
        <f>"Q"&amp;ROUNDUP(MONTH(Table1[[#This Row],[Date]])/3,0)</f>
        <v>Q2</v>
      </c>
      <c r="E12" s="2">
        <f>YEAR(Table1[[#This Row],[Date]])</f>
        <v>2024</v>
      </c>
      <c r="F12" s="2" t="s">
        <v>63</v>
      </c>
      <c r="G12" s="2" t="s">
        <v>48</v>
      </c>
      <c r="H12" s="2" t="s">
        <v>53</v>
      </c>
      <c r="I12" s="2" t="s">
        <v>71</v>
      </c>
      <c r="J12" s="2">
        <v>19</v>
      </c>
      <c r="K12" s="2">
        <v>8000</v>
      </c>
      <c r="L12" s="2">
        <v>15</v>
      </c>
      <c r="M12" s="2">
        <v>129200</v>
      </c>
      <c r="N12" s="23">
        <f>(Table1[[#This Row],[Profit (PKR)]]/Table1[[#This Row],[Total Revenue (PKR)]])</f>
        <v>0.26470588235294118</v>
      </c>
      <c r="O12" s="2">
        <v>5000</v>
      </c>
      <c r="P12" s="2">
        <v>95000</v>
      </c>
      <c r="Q12" s="2">
        <v>34200</v>
      </c>
      <c r="R12" s="2" t="s">
        <v>42</v>
      </c>
      <c r="S12" s="2" t="str">
        <f>IF(AND(Table1[[#This Row],[Total Revenue (PKR)]]&gt;50000, Table1[[#This Row],[Discount %]]&lt;10),"High Value","Standard")</f>
        <v>Standard</v>
      </c>
      <c r="T12" s="2" t="s">
        <v>36</v>
      </c>
      <c r="U12" s="6" t="s">
        <v>56</v>
      </c>
      <c r="V12" s="19" t="s">
        <v>70</v>
      </c>
    </row>
    <row r="13" spans="1:22" x14ac:dyDescent="0.25">
      <c r="A13" s="5" t="s">
        <v>72</v>
      </c>
      <c r="B13" s="16">
        <f>DATEVALUE(Table1[[#This Row],[Date2]])</f>
        <v>45362</v>
      </c>
      <c r="C13" s="3" t="str">
        <f>TEXT(Table1[[#This Row],[Date]],"MMM")</f>
        <v>Mar</v>
      </c>
      <c r="D13" s="3" t="str">
        <f>"Q"&amp;ROUNDUP(MONTH(Table1[[#This Row],[Date]])/3,0)</f>
        <v>Q1</v>
      </c>
      <c r="E13" s="3">
        <f>YEAR(Table1[[#This Row],[Date]])</f>
        <v>2024</v>
      </c>
      <c r="F13" s="3" t="s">
        <v>63</v>
      </c>
      <c r="G13" s="3" t="s">
        <v>74</v>
      </c>
      <c r="H13" s="3" t="s">
        <v>28</v>
      </c>
      <c r="I13" s="3" t="s">
        <v>29</v>
      </c>
      <c r="J13" s="3">
        <v>4</v>
      </c>
      <c r="K13" s="3">
        <v>25000</v>
      </c>
      <c r="L13" s="3">
        <v>5</v>
      </c>
      <c r="M13" s="3">
        <v>95000</v>
      </c>
      <c r="N13" s="24">
        <f>(Table1[[#This Row],[Profit (PKR)]]/Table1[[#This Row],[Total Revenue (PKR)]])</f>
        <v>0.24210526315789474</v>
      </c>
      <c r="O13" s="3">
        <v>18000</v>
      </c>
      <c r="P13" s="3">
        <v>72000</v>
      </c>
      <c r="Q13" s="3">
        <v>23000</v>
      </c>
      <c r="R13" s="3" t="s">
        <v>22</v>
      </c>
      <c r="S13" s="3" t="str">
        <f>IF(AND(Table1[[#This Row],[Total Revenue (PKR)]]&gt;50000, Table1[[#This Row],[Discount %]]&lt;10),"High Value","Standard")</f>
        <v>High Value</v>
      </c>
      <c r="T13" s="3" t="s">
        <v>23</v>
      </c>
      <c r="U13" s="7" t="s">
        <v>44</v>
      </c>
      <c r="V13" s="20" t="s">
        <v>73</v>
      </c>
    </row>
    <row r="14" spans="1:22" x14ac:dyDescent="0.25">
      <c r="A14" s="4" t="s">
        <v>75</v>
      </c>
      <c r="B14" s="15">
        <f>DATEVALUE(Table1[[#This Row],[Date2]])</f>
        <v>45324</v>
      </c>
      <c r="C14" s="2" t="str">
        <f>TEXT(Table1[[#This Row],[Date]],"MMM")</f>
        <v>Feb</v>
      </c>
      <c r="D14" s="2" t="str">
        <f>"Q"&amp;ROUNDUP(MONTH(Table1[[#This Row],[Date]])/3,0)</f>
        <v>Q1</v>
      </c>
      <c r="E14" s="2">
        <f>YEAR(Table1[[#This Row],[Date]])</f>
        <v>2024</v>
      </c>
      <c r="F14" s="2" t="s">
        <v>77</v>
      </c>
      <c r="G14" s="2" t="s">
        <v>27</v>
      </c>
      <c r="H14" s="2" t="s">
        <v>53</v>
      </c>
      <c r="I14" s="2" t="s">
        <v>71</v>
      </c>
      <c r="J14" s="2">
        <v>17</v>
      </c>
      <c r="K14" s="2">
        <v>8000</v>
      </c>
      <c r="L14" s="2">
        <v>10</v>
      </c>
      <c r="M14" s="2">
        <v>122400</v>
      </c>
      <c r="N14" s="23">
        <f>(Table1[[#This Row],[Profit (PKR)]]/Table1[[#This Row],[Total Revenue (PKR)]])</f>
        <v>0.30555555555555558</v>
      </c>
      <c r="O14" s="2">
        <v>5000</v>
      </c>
      <c r="P14" s="2">
        <v>85000</v>
      </c>
      <c r="Q14" s="2">
        <v>37400</v>
      </c>
      <c r="R14" s="2" t="s">
        <v>22</v>
      </c>
      <c r="S14" s="2" t="str">
        <f>IF(AND(Table1[[#This Row],[Total Revenue (PKR)]]&gt;50000, Table1[[#This Row],[Discount %]]&lt;10),"High Value","Standard")</f>
        <v>Standard</v>
      </c>
      <c r="T14" s="2" t="s">
        <v>23</v>
      </c>
      <c r="U14" s="6" t="s">
        <v>24</v>
      </c>
      <c r="V14" s="19" t="s">
        <v>76</v>
      </c>
    </row>
    <row r="15" spans="1:22" x14ac:dyDescent="0.25">
      <c r="A15" s="5" t="s">
        <v>78</v>
      </c>
      <c r="B15" s="16">
        <f>DATEVALUE(Table1[[#This Row],[Date2]])</f>
        <v>45641</v>
      </c>
      <c r="C15" s="3" t="str">
        <f>TEXT(Table1[[#This Row],[Date]],"MMM")</f>
        <v>Dec</v>
      </c>
      <c r="D15" s="3" t="str">
        <f>"Q"&amp;ROUNDUP(MONTH(Table1[[#This Row],[Date]])/3,0)</f>
        <v>Q4</v>
      </c>
      <c r="E15" s="3">
        <f>YEAR(Table1[[#This Row],[Date]])</f>
        <v>2024</v>
      </c>
      <c r="F15" s="3" t="s">
        <v>63</v>
      </c>
      <c r="G15" s="3" t="s">
        <v>48</v>
      </c>
      <c r="H15" s="3" t="s">
        <v>20</v>
      </c>
      <c r="I15" s="3" t="s">
        <v>65</v>
      </c>
      <c r="J15" s="3">
        <v>10</v>
      </c>
      <c r="K15" s="3">
        <v>18000</v>
      </c>
      <c r="L15" s="3">
        <v>15</v>
      </c>
      <c r="M15" s="3">
        <v>153000</v>
      </c>
      <c r="N15" s="24">
        <f>(Table1[[#This Row],[Profit (PKR)]]/Table1[[#This Row],[Total Revenue (PKR)]])</f>
        <v>0.21568627450980393</v>
      </c>
      <c r="O15" s="3">
        <v>12000</v>
      </c>
      <c r="P15" s="3">
        <v>120000</v>
      </c>
      <c r="Q15" s="3">
        <v>33000</v>
      </c>
      <c r="R15" s="3" t="s">
        <v>22</v>
      </c>
      <c r="S15" s="3" t="str">
        <f>IF(AND(Table1[[#This Row],[Total Revenue (PKR)]]&gt;50000, Table1[[#This Row],[Discount %]]&lt;10),"High Value","Standard")</f>
        <v>Standard</v>
      </c>
      <c r="T15" s="3" t="s">
        <v>66</v>
      </c>
      <c r="U15" s="7" t="s">
        <v>44</v>
      </c>
      <c r="V15" s="20" t="s">
        <v>79</v>
      </c>
    </row>
    <row r="16" spans="1:22" x14ac:dyDescent="0.25">
      <c r="A16" s="4" t="s">
        <v>80</v>
      </c>
      <c r="B16" s="15">
        <f>DATEVALUE(Table1[[#This Row],[Date2]])</f>
        <v>45426</v>
      </c>
      <c r="C16" s="2" t="str">
        <f>TEXT(Table1[[#This Row],[Date]],"MMM")</f>
        <v>May</v>
      </c>
      <c r="D16" s="2" t="str">
        <f>"Q"&amp;ROUNDUP(MONTH(Table1[[#This Row],[Date]])/3,0)</f>
        <v>Q2</v>
      </c>
      <c r="E16" s="2">
        <f>YEAR(Table1[[#This Row],[Date]])</f>
        <v>2024</v>
      </c>
      <c r="F16" s="2" t="s">
        <v>63</v>
      </c>
      <c r="G16" s="2" t="s">
        <v>40</v>
      </c>
      <c r="H16" s="2" t="s">
        <v>53</v>
      </c>
      <c r="I16" s="2" t="s">
        <v>82</v>
      </c>
      <c r="J16" s="2">
        <v>10</v>
      </c>
      <c r="K16" s="2">
        <v>4000</v>
      </c>
      <c r="L16" s="2">
        <v>25</v>
      </c>
      <c r="M16" s="2">
        <v>30000</v>
      </c>
      <c r="N16" s="23">
        <f>(Table1[[#This Row],[Profit (PKR)]]/Table1[[#This Row],[Total Revenue (PKR)]])</f>
        <v>0.16666666666666666</v>
      </c>
      <c r="O16" s="2">
        <v>2500</v>
      </c>
      <c r="P16" s="2">
        <v>25000</v>
      </c>
      <c r="Q16" s="2">
        <v>5000</v>
      </c>
      <c r="R16" s="2" t="s">
        <v>22</v>
      </c>
      <c r="S16" s="2" t="str">
        <f>IF(AND(Table1[[#This Row],[Total Revenue (PKR)]]&gt;50000, Table1[[#This Row],[Discount %]]&lt;10),"High Value","Standard")</f>
        <v>Standard</v>
      </c>
      <c r="T16" s="2" t="s">
        <v>36</v>
      </c>
      <c r="U16" s="6" t="s">
        <v>44</v>
      </c>
      <c r="V16" s="19" t="s">
        <v>81</v>
      </c>
    </row>
    <row r="17" spans="1:22" x14ac:dyDescent="0.25">
      <c r="A17" s="5" t="s">
        <v>83</v>
      </c>
      <c r="B17" s="16">
        <f>DATEVALUE(Table1[[#This Row],[Date2]])</f>
        <v>45374</v>
      </c>
      <c r="C17" s="3" t="str">
        <f>TEXT(Table1[[#This Row],[Date]],"MMM")</f>
        <v>Mar</v>
      </c>
      <c r="D17" s="3" t="str">
        <f>"Q"&amp;ROUNDUP(MONTH(Table1[[#This Row],[Date]])/3,0)</f>
        <v>Q1</v>
      </c>
      <c r="E17" s="3">
        <f>YEAR(Table1[[#This Row],[Date]])</f>
        <v>2024</v>
      </c>
      <c r="F17" s="3" t="s">
        <v>63</v>
      </c>
      <c r="G17" s="3" t="s">
        <v>19</v>
      </c>
      <c r="H17" s="3" t="s">
        <v>53</v>
      </c>
      <c r="I17" s="3" t="s">
        <v>85</v>
      </c>
      <c r="J17" s="3">
        <v>16</v>
      </c>
      <c r="K17" s="3">
        <v>1500</v>
      </c>
      <c r="L17" s="3">
        <v>0</v>
      </c>
      <c r="M17" s="3">
        <v>24000</v>
      </c>
      <c r="N17" s="24">
        <f>(Table1[[#This Row],[Profit (PKR)]]/Table1[[#This Row],[Total Revenue (PKR)]])</f>
        <v>0.46666666666666667</v>
      </c>
      <c r="O17" s="3">
        <v>800</v>
      </c>
      <c r="P17" s="3">
        <v>12800</v>
      </c>
      <c r="Q17" s="3">
        <v>11200</v>
      </c>
      <c r="R17" s="3" t="s">
        <v>22</v>
      </c>
      <c r="S17" s="3" t="str">
        <f>IF(AND(Table1[[#This Row],[Total Revenue (PKR)]]&gt;50000, Table1[[#This Row],[Discount %]]&lt;10),"High Value","Standard")</f>
        <v>Standard</v>
      </c>
      <c r="T17" s="3" t="s">
        <v>55</v>
      </c>
      <c r="U17" s="7" t="s">
        <v>86</v>
      </c>
      <c r="V17" s="20" t="s">
        <v>84</v>
      </c>
    </row>
    <row r="18" spans="1:22" x14ac:dyDescent="0.25">
      <c r="A18" s="4" t="s">
        <v>87</v>
      </c>
      <c r="B18" s="15">
        <f>DATEVALUE(Table1[[#This Row],[Date2]])</f>
        <v>45449</v>
      </c>
      <c r="C18" s="2" t="str">
        <f>TEXT(Table1[[#This Row],[Date]],"MMM")</f>
        <v>Jun</v>
      </c>
      <c r="D18" s="2" t="str">
        <f>"Q"&amp;ROUNDUP(MONTH(Table1[[#This Row],[Date]])/3,0)</f>
        <v>Q2</v>
      </c>
      <c r="E18" s="2">
        <f>YEAR(Table1[[#This Row],[Date]])</f>
        <v>2024</v>
      </c>
      <c r="F18" s="2" t="s">
        <v>33</v>
      </c>
      <c r="G18" s="2" t="s">
        <v>19</v>
      </c>
      <c r="H18" s="2" t="s">
        <v>34</v>
      </c>
      <c r="I18" s="2" t="s">
        <v>89</v>
      </c>
      <c r="J18" s="2">
        <v>3</v>
      </c>
      <c r="K18" s="2">
        <v>4500</v>
      </c>
      <c r="L18" s="2">
        <v>0</v>
      </c>
      <c r="M18" s="2">
        <v>13500</v>
      </c>
      <c r="N18" s="23">
        <f>(Table1[[#This Row],[Profit (PKR)]]/Table1[[#This Row],[Total Revenue (PKR)]])</f>
        <v>0.44444444444444442</v>
      </c>
      <c r="O18" s="2">
        <v>2500</v>
      </c>
      <c r="P18" s="2">
        <v>7500</v>
      </c>
      <c r="Q18" s="2">
        <v>6000</v>
      </c>
      <c r="R18" s="2" t="s">
        <v>42</v>
      </c>
      <c r="S18" s="2" t="str">
        <f>IF(AND(Table1[[#This Row],[Total Revenue (PKR)]]&gt;50000, Table1[[#This Row],[Discount %]]&lt;10),"High Value","Standard")</f>
        <v>Standard</v>
      </c>
      <c r="T18" s="2" t="s">
        <v>43</v>
      </c>
      <c r="U18" s="6" t="s">
        <v>56</v>
      </c>
      <c r="V18" s="19" t="s">
        <v>88</v>
      </c>
    </row>
    <row r="19" spans="1:22" x14ac:dyDescent="0.25">
      <c r="A19" s="5" t="s">
        <v>90</v>
      </c>
      <c r="B19" s="16">
        <f>DATEVALUE(Table1[[#This Row],[Date2]])</f>
        <v>45564</v>
      </c>
      <c r="C19" s="3" t="str">
        <f>TEXT(Table1[[#This Row],[Date]],"MMM")</f>
        <v>Sep</v>
      </c>
      <c r="D19" s="3" t="str">
        <f>"Q"&amp;ROUNDUP(MONTH(Table1[[#This Row],[Date]])/3,0)</f>
        <v>Q3</v>
      </c>
      <c r="E19" s="3">
        <f>YEAR(Table1[[#This Row],[Date]])</f>
        <v>2024</v>
      </c>
      <c r="F19" s="3" t="s">
        <v>92</v>
      </c>
      <c r="G19" s="3" t="s">
        <v>40</v>
      </c>
      <c r="H19" s="3" t="s">
        <v>93</v>
      </c>
      <c r="I19" s="3" t="s">
        <v>94</v>
      </c>
      <c r="J19" s="3">
        <v>6</v>
      </c>
      <c r="K19" s="3">
        <v>1200</v>
      </c>
      <c r="L19" s="3">
        <v>10</v>
      </c>
      <c r="M19" s="3">
        <v>6480</v>
      </c>
      <c r="N19" s="24">
        <f>(Table1[[#This Row],[Profit (PKR)]]/Table1[[#This Row],[Total Revenue (PKR)]])</f>
        <v>0.16666666666666666</v>
      </c>
      <c r="O19" s="3">
        <v>900</v>
      </c>
      <c r="P19" s="3">
        <v>5400</v>
      </c>
      <c r="Q19" s="3">
        <v>1080</v>
      </c>
      <c r="R19" s="3" t="s">
        <v>42</v>
      </c>
      <c r="S19" s="3" t="str">
        <f>IF(AND(Table1[[#This Row],[Total Revenue (PKR)]]&gt;50000, Table1[[#This Row],[Discount %]]&lt;10),"High Value","Standard")</f>
        <v>Standard</v>
      </c>
      <c r="T19" s="3" t="s">
        <v>36</v>
      </c>
      <c r="U19" s="7" t="s">
        <v>95</v>
      </c>
      <c r="V19" s="20" t="s">
        <v>91</v>
      </c>
    </row>
    <row r="20" spans="1:22" x14ac:dyDescent="0.25">
      <c r="A20" s="4" t="s">
        <v>96</v>
      </c>
      <c r="B20" s="15">
        <f>DATEVALUE(Table1[[#This Row],[Date2]])</f>
        <v>45645</v>
      </c>
      <c r="C20" s="2" t="str">
        <f>TEXT(Table1[[#This Row],[Date]],"MMM")</f>
        <v>Dec</v>
      </c>
      <c r="D20" s="2" t="str">
        <f>"Q"&amp;ROUNDUP(MONTH(Table1[[#This Row],[Date]])/3,0)</f>
        <v>Q4</v>
      </c>
      <c r="E20" s="2">
        <f>YEAR(Table1[[#This Row],[Date]])</f>
        <v>2024</v>
      </c>
      <c r="F20" s="2" t="s">
        <v>33</v>
      </c>
      <c r="G20" s="2" t="s">
        <v>48</v>
      </c>
      <c r="H20" s="2" t="s">
        <v>93</v>
      </c>
      <c r="I20" s="2" t="s">
        <v>98</v>
      </c>
      <c r="J20" s="2">
        <v>15</v>
      </c>
      <c r="K20" s="2">
        <v>400</v>
      </c>
      <c r="L20" s="2">
        <v>20</v>
      </c>
      <c r="M20" s="2">
        <v>4800</v>
      </c>
      <c r="N20" s="23">
        <f>(Table1[[#This Row],[Profit (PKR)]]/Table1[[#This Row],[Total Revenue (PKR)]])</f>
        <v>0.125</v>
      </c>
      <c r="O20" s="2">
        <v>280</v>
      </c>
      <c r="P20" s="2">
        <v>4200</v>
      </c>
      <c r="Q20" s="2">
        <v>600</v>
      </c>
      <c r="R20" s="2" t="s">
        <v>42</v>
      </c>
      <c r="S20" s="2" t="str">
        <f>IF(AND(Table1[[#This Row],[Total Revenue (PKR)]]&gt;50000, Table1[[#This Row],[Discount %]]&lt;10),"High Value","Standard")</f>
        <v>Standard</v>
      </c>
      <c r="T20" s="2" t="s">
        <v>43</v>
      </c>
      <c r="U20" s="6" t="s">
        <v>44</v>
      </c>
      <c r="V20" s="19" t="s">
        <v>97</v>
      </c>
    </row>
    <row r="21" spans="1:22" x14ac:dyDescent="0.25">
      <c r="A21" s="5" t="s">
        <v>99</v>
      </c>
      <c r="B21" s="16">
        <f>DATEVALUE(Table1[[#This Row],[Date2]])</f>
        <v>45324</v>
      </c>
      <c r="C21" s="3" t="str">
        <f>TEXT(Table1[[#This Row],[Date]],"MMM")</f>
        <v>Feb</v>
      </c>
      <c r="D21" s="3" t="str">
        <f>"Q"&amp;ROUNDUP(MONTH(Table1[[#This Row],[Date]])/3,0)</f>
        <v>Q1</v>
      </c>
      <c r="E21" s="3">
        <f>YEAR(Table1[[#This Row],[Date]])</f>
        <v>2024</v>
      </c>
      <c r="F21" s="3" t="s">
        <v>100</v>
      </c>
      <c r="G21" s="3" t="s">
        <v>19</v>
      </c>
      <c r="H21" s="3" t="s">
        <v>53</v>
      </c>
      <c r="I21" s="3" t="s">
        <v>101</v>
      </c>
      <c r="J21" s="3">
        <v>8</v>
      </c>
      <c r="K21" s="3">
        <v>1200</v>
      </c>
      <c r="L21" s="3">
        <v>20</v>
      </c>
      <c r="M21" s="3">
        <v>7680</v>
      </c>
      <c r="N21" s="24">
        <f>(Table1[[#This Row],[Profit (PKR)]]/Table1[[#This Row],[Total Revenue (PKR)]])</f>
        <v>0.27083333333333331</v>
      </c>
      <c r="O21" s="3">
        <v>700</v>
      </c>
      <c r="P21" s="3">
        <v>5600</v>
      </c>
      <c r="Q21" s="3">
        <v>2080</v>
      </c>
      <c r="R21" s="3" t="s">
        <v>22</v>
      </c>
      <c r="S21" s="3" t="str">
        <f>IF(AND(Table1[[#This Row],[Total Revenue (PKR)]]&gt;50000, Table1[[#This Row],[Discount %]]&lt;10),"High Value","Standard")</f>
        <v>Standard</v>
      </c>
      <c r="T21" s="3" t="s">
        <v>43</v>
      </c>
      <c r="U21" s="7" t="s">
        <v>44</v>
      </c>
      <c r="V21" s="20" t="s">
        <v>76</v>
      </c>
    </row>
    <row r="22" spans="1:22" x14ac:dyDescent="0.25">
      <c r="A22" s="4" t="s">
        <v>102</v>
      </c>
      <c r="B22" s="15">
        <f>DATEVALUE(Table1[[#This Row],[Date2]])</f>
        <v>45615</v>
      </c>
      <c r="C22" s="2" t="str">
        <f>TEXT(Table1[[#This Row],[Date]],"MMM")</f>
        <v>Nov</v>
      </c>
      <c r="D22" s="2" t="str">
        <f>"Q"&amp;ROUNDUP(MONTH(Table1[[#This Row],[Date]])/3,0)</f>
        <v>Q4</v>
      </c>
      <c r="E22" s="2">
        <f>YEAR(Table1[[#This Row],[Date]])</f>
        <v>2024</v>
      </c>
      <c r="F22" s="2" t="s">
        <v>104</v>
      </c>
      <c r="G22" s="2" t="s">
        <v>64</v>
      </c>
      <c r="H22" s="2" t="s">
        <v>28</v>
      </c>
      <c r="I22" s="2" t="s">
        <v>29</v>
      </c>
      <c r="J22" s="2">
        <v>11</v>
      </c>
      <c r="K22" s="2">
        <v>25000</v>
      </c>
      <c r="L22" s="2">
        <v>0</v>
      </c>
      <c r="M22" s="2">
        <v>275000</v>
      </c>
      <c r="N22" s="23">
        <f>(Table1[[#This Row],[Profit (PKR)]]/Table1[[#This Row],[Total Revenue (PKR)]])</f>
        <v>0.28000000000000003</v>
      </c>
      <c r="O22" s="2">
        <v>18000</v>
      </c>
      <c r="P22" s="2">
        <v>198000</v>
      </c>
      <c r="Q22" s="2">
        <v>77000</v>
      </c>
      <c r="R22" s="2" t="s">
        <v>22</v>
      </c>
      <c r="S22" s="2" t="str">
        <f>IF(AND(Table1[[#This Row],[Total Revenue (PKR)]]&gt;50000, Table1[[#This Row],[Discount %]]&lt;10),"High Value","Standard")</f>
        <v>High Value</v>
      </c>
      <c r="T22" s="2" t="s">
        <v>55</v>
      </c>
      <c r="U22" s="6" t="s">
        <v>24</v>
      </c>
      <c r="V22" s="19" t="s">
        <v>103</v>
      </c>
    </row>
    <row r="23" spans="1:22" x14ac:dyDescent="0.25">
      <c r="A23" s="5" t="s">
        <v>105</v>
      </c>
      <c r="B23" s="16">
        <f>DATEVALUE(Table1[[#This Row],[Date2]])</f>
        <v>45401</v>
      </c>
      <c r="C23" s="3" t="str">
        <f>TEXT(Table1[[#This Row],[Date]],"MMM")</f>
        <v>Apr</v>
      </c>
      <c r="D23" s="3" t="str">
        <f>"Q"&amp;ROUNDUP(MONTH(Table1[[#This Row],[Date]])/3,0)</f>
        <v>Q2</v>
      </c>
      <c r="E23" s="3">
        <f>YEAR(Table1[[#This Row],[Date]])</f>
        <v>2024</v>
      </c>
      <c r="F23" s="3" t="s">
        <v>63</v>
      </c>
      <c r="G23" s="3" t="s">
        <v>40</v>
      </c>
      <c r="H23" s="3" t="s">
        <v>53</v>
      </c>
      <c r="I23" s="3" t="s">
        <v>101</v>
      </c>
      <c r="J23" s="3">
        <v>16</v>
      </c>
      <c r="K23" s="3">
        <v>1200</v>
      </c>
      <c r="L23" s="3">
        <v>5</v>
      </c>
      <c r="M23" s="3">
        <v>18240</v>
      </c>
      <c r="N23" s="24">
        <f>(Table1[[#This Row],[Profit (PKR)]]/Table1[[#This Row],[Total Revenue (PKR)]])</f>
        <v>0.38596491228070173</v>
      </c>
      <c r="O23" s="3">
        <v>700</v>
      </c>
      <c r="P23" s="3">
        <v>11200</v>
      </c>
      <c r="Q23" s="3">
        <v>7040</v>
      </c>
      <c r="R23" s="3" t="s">
        <v>42</v>
      </c>
      <c r="S23" s="3" t="str">
        <f>IF(AND(Table1[[#This Row],[Total Revenue (PKR)]]&gt;50000, Table1[[#This Row],[Discount %]]&lt;10),"High Value","Standard")</f>
        <v>Standard</v>
      </c>
      <c r="T23" s="3" t="s">
        <v>66</v>
      </c>
      <c r="U23" s="7" t="s">
        <v>44</v>
      </c>
      <c r="V23" s="20" t="s">
        <v>106</v>
      </c>
    </row>
    <row r="24" spans="1:22" x14ac:dyDescent="0.25">
      <c r="A24" s="4" t="s">
        <v>107</v>
      </c>
      <c r="B24" s="15">
        <f>DATEVALUE(Table1[[#This Row],[Date2]])</f>
        <v>45341</v>
      </c>
      <c r="C24" s="2" t="str">
        <f>TEXT(Table1[[#This Row],[Date]],"MMM")</f>
        <v>Feb</v>
      </c>
      <c r="D24" s="2" t="str">
        <f>"Q"&amp;ROUNDUP(MONTH(Table1[[#This Row],[Date]])/3,0)</f>
        <v>Q1</v>
      </c>
      <c r="E24" s="2">
        <f>YEAR(Table1[[#This Row],[Date]])</f>
        <v>2024</v>
      </c>
      <c r="F24" s="2" t="s">
        <v>77</v>
      </c>
      <c r="G24" s="2" t="s">
        <v>52</v>
      </c>
      <c r="H24" s="2" t="s">
        <v>93</v>
      </c>
      <c r="I24" s="2" t="s">
        <v>109</v>
      </c>
      <c r="J24" s="2">
        <v>15</v>
      </c>
      <c r="K24" s="2">
        <v>700</v>
      </c>
      <c r="L24" s="2">
        <v>25</v>
      </c>
      <c r="M24" s="2">
        <v>7875</v>
      </c>
      <c r="N24" s="23">
        <f>(Table1[[#This Row],[Profit (PKR)]]/Table1[[#This Row],[Total Revenue (PKR)]])</f>
        <v>4.7619047619047616E-2</v>
      </c>
      <c r="O24" s="2">
        <v>500</v>
      </c>
      <c r="P24" s="2">
        <v>7500</v>
      </c>
      <c r="Q24" s="2">
        <v>375</v>
      </c>
      <c r="R24" s="2" t="s">
        <v>22</v>
      </c>
      <c r="S24" s="2" t="str">
        <f>IF(AND(Table1[[#This Row],[Total Revenue (PKR)]]&gt;50000, Table1[[#This Row],[Discount %]]&lt;10),"High Value","Standard")</f>
        <v>Standard</v>
      </c>
      <c r="T24" s="2" t="s">
        <v>23</v>
      </c>
      <c r="U24" s="6" t="s">
        <v>24</v>
      </c>
      <c r="V24" s="19" t="s">
        <v>108</v>
      </c>
    </row>
    <row r="25" spans="1:22" x14ac:dyDescent="0.25">
      <c r="A25" s="5" t="s">
        <v>110</v>
      </c>
      <c r="B25" s="16">
        <f>DATEVALUE(Table1[[#This Row],[Date2]])</f>
        <v>45622</v>
      </c>
      <c r="C25" s="3" t="str">
        <f>TEXT(Table1[[#This Row],[Date]],"MMM")</f>
        <v>Nov</v>
      </c>
      <c r="D25" s="3" t="str">
        <f>"Q"&amp;ROUNDUP(MONTH(Table1[[#This Row],[Date]])/3,0)</f>
        <v>Q4</v>
      </c>
      <c r="E25" s="3">
        <f>YEAR(Table1[[#This Row],[Date]])</f>
        <v>2024</v>
      </c>
      <c r="F25" s="3" t="s">
        <v>18</v>
      </c>
      <c r="G25" s="3" t="s">
        <v>19</v>
      </c>
      <c r="H25" s="3" t="s">
        <v>93</v>
      </c>
      <c r="I25" s="3" t="s">
        <v>98</v>
      </c>
      <c r="J25" s="3">
        <v>4</v>
      </c>
      <c r="K25" s="3">
        <v>400</v>
      </c>
      <c r="L25" s="3">
        <v>5</v>
      </c>
      <c r="M25" s="3">
        <v>1520</v>
      </c>
      <c r="N25" s="24">
        <f>(Table1[[#This Row],[Profit (PKR)]]/Table1[[#This Row],[Total Revenue (PKR)]])</f>
        <v>0.26315789473684209</v>
      </c>
      <c r="O25" s="3">
        <v>280</v>
      </c>
      <c r="P25" s="3">
        <v>1120</v>
      </c>
      <c r="Q25" s="3">
        <v>400</v>
      </c>
      <c r="R25" s="3" t="s">
        <v>22</v>
      </c>
      <c r="S25" s="3" t="str">
        <f>IF(AND(Table1[[#This Row],[Total Revenue (PKR)]]&gt;50000, Table1[[#This Row],[Discount %]]&lt;10),"High Value","Standard")</f>
        <v>Standard</v>
      </c>
      <c r="T25" s="3" t="s">
        <v>36</v>
      </c>
      <c r="U25" s="7" t="s">
        <v>44</v>
      </c>
      <c r="V25" s="20" t="s">
        <v>111</v>
      </c>
    </row>
    <row r="26" spans="1:22" x14ac:dyDescent="0.25">
      <c r="A26" s="4" t="s">
        <v>112</v>
      </c>
      <c r="B26" s="15">
        <f>DATEVALUE(Table1[[#This Row],[Date2]])</f>
        <v>45363</v>
      </c>
      <c r="C26" s="2" t="str">
        <f>TEXT(Table1[[#This Row],[Date]],"MMM")</f>
        <v>Mar</v>
      </c>
      <c r="D26" s="2" t="str">
        <f>"Q"&amp;ROUNDUP(MONTH(Table1[[#This Row],[Date]])/3,0)</f>
        <v>Q1</v>
      </c>
      <c r="E26" s="2">
        <f>YEAR(Table1[[#This Row],[Date]])</f>
        <v>2024</v>
      </c>
      <c r="F26" s="2" t="s">
        <v>77</v>
      </c>
      <c r="G26" s="2" t="s">
        <v>40</v>
      </c>
      <c r="H26" s="2" t="s">
        <v>20</v>
      </c>
      <c r="I26" s="2" t="s">
        <v>59</v>
      </c>
      <c r="J26" s="2">
        <v>8</v>
      </c>
      <c r="K26" s="2">
        <v>12000</v>
      </c>
      <c r="L26" s="2">
        <v>0</v>
      </c>
      <c r="M26" s="2">
        <v>96000</v>
      </c>
      <c r="N26" s="23">
        <f>(Table1[[#This Row],[Profit (PKR)]]/Table1[[#This Row],[Total Revenue (PKR)]])</f>
        <v>0.33333333333333331</v>
      </c>
      <c r="O26" s="2">
        <v>8000</v>
      </c>
      <c r="P26" s="2">
        <v>64000</v>
      </c>
      <c r="Q26" s="2">
        <v>32000</v>
      </c>
      <c r="R26" s="2" t="s">
        <v>42</v>
      </c>
      <c r="S26" s="2" t="str">
        <f>IF(AND(Table1[[#This Row],[Total Revenue (PKR)]]&gt;50000, Table1[[#This Row],[Discount %]]&lt;10),"High Value","Standard")</f>
        <v>High Value</v>
      </c>
      <c r="T26" s="2" t="s">
        <v>30</v>
      </c>
      <c r="U26" s="6" t="s">
        <v>44</v>
      </c>
      <c r="V26" s="19" t="s">
        <v>113</v>
      </c>
    </row>
    <row r="27" spans="1:22" x14ac:dyDescent="0.25">
      <c r="A27" s="5" t="s">
        <v>114</v>
      </c>
      <c r="B27" s="16">
        <f>DATEVALUE(Table1[[#This Row],[Date2]])</f>
        <v>45625</v>
      </c>
      <c r="C27" s="3" t="str">
        <f>TEXT(Table1[[#This Row],[Date]],"MMM")</f>
        <v>Nov</v>
      </c>
      <c r="D27" s="3" t="str">
        <f>"Q"&amp;ROUNDUP(MONTH(Table1[[#This Row],[Date]])/3,0)</f>
        <v>Q4</v>
      </c>
      <c r="E27" s="3">
        <f>YEAR(Table1[[#This Row],[Date]])</f>
        <v>2024</v>
      </c>
      <c r="F27" s="3" t="s">
        <v>63</v>
      </c>
      <c r="G27" s="3" t="s">
        <v>19</v>
      </c>
      <c r="H27" s="3" t="s">
        <v>28</v>
      </c>
      <c r="I27" s="3" t="s">
        <v>116</v>
      </c>
      <c r="J27" s="3">
        <v>6</v>
      </c>
      <c r="K27" s="3">
        <v>85000</v>
      </c>
      <c r="L27" s="3">
        <v>15</v>
      </c>
      <c r="M27" s="3">
        <v>433500</v>
      </c>
      <c r="N27" s="24">
        <f>(Table1[[#This Row],[Profit (PKR)]]/Table1[[#This Row],[Total Revenue (PKR)]])</f>
        <v>0.10034602076124567</v>
      </c>
      <c r="O27" s="3">
        <v>65000</v>
      </c>
      <c r="P27" s="3">
        <v>390000</v>
      </c>
      <c r="Q27" s="3">
        <v>43500</v>
      </c>
      <c r="R27" s="3" t="s">
        <v>42</v>
      </c>
      <c r="S27" s="3" t="str">
        <f>IF(AND(Table1[[#This Row],[Total Revenue (PKR)]]&gt;50000, Table1[[#This Row],[Discount %]]&lt;10),"High Value","Standard")</f>
        <v>Standard</v>
      </c>
      <c r="T27" s="3" t="s">
        <v>66</v>
      </c>
      <c r="U27" s="7" t="s">
        <v>44</v>
      </c>
      <c r="V27" s="20" t="s">
        <v>115</v>
      </c>
    </row>
    <row r="28" spans="1:22" x14ac:dyDescent="0.25">
      <c r="A28" s="4" t="s">
        <v>117</v>
      </c>
      <c r="B28" s="15">
        <f>DATEVALUE(Table1[[#This Row],[Date2]])</f>
        <v>45497</v>
      </c>
      <c r="C28" s="2" t="str">
        <f>TEXT(Table1[[#This Row],[Date]],"MMM")</f>
        <v>Jul</v>
      </c>
      <c r="D28" s="2" t="str">
        <f>"Q"&amp;ROUNDUP(MONTH(Table1[[#This Row],[Date]])/3,0)</f>
        <v>Q3</v>
      </c>
      <c r="E28" s="2">
        <f>YEAR(Table1[[#This Row],[Date]])</f>
        <v>2024</v>
      </c>
      <c r="F28" s="2" t="s">
        <v>104</v>
      </c>
      <c r="G28" s="2" t="s">
        <v>40</v>
      </c>
      <c r="H28" s="2" t="s">
        <v>93</v>
      </c>
      <c r="I28" s="2" t="s">
        <v>119</v>
      </c>
      <c r="J28" s="2">
        <v>13</v>
      </c>
      <c r="K28" s="2">
        <v>800</v>
      </c>
      <c r="L28" s="2">
        <v>10</v>
      </c>
      <c r="M28" s="2">
        <v>9360</v>
      </c>
      <c r="N28" s="23">
        <f>(Table1[[#This Row],[Profit (PKR)]]/Table1[[#This Row],[Total Revenue (PKR)]])</f>
        <v>0.16666666666666666</v>
      </c>
      <c r="O28" s="2">
        <v>600</v>
      </c>
      <c r="P28" s="2">
        <v>7800</v>
      </c>
      <c r="Q28" s="2">
        <v>1560</v>
      </c>
      <c r="R28" s="2" t="s">
        <v>42</v>
      </c>
      <c r="S28" s="2" t="str">
        <f>IF(AND(Table1[[#This Row],[Total Revenue (PKR)]]&gt;50000, Table1[[#This Row],[Discount %]]&lt;10),"High Value","Standard")</f>
        <v>Standard</v>
      </c>
      <c r="T28" s="2" t="s">
        <v>55</v>
      </c>
      <c r="U28" s="6" t="s">
        <v>44</v>
      </c>
      <c r="V28" s="19" t="s">
        <v>118</v>
      </c>
    </row>
    <row r="29" spans="1:22" x14ac:dyDescent="0.25">
      <c r="A29" s="5" t="s">
        <v>120</v>
      </c>
      <c r="B29" s="16">
        <f>DATEVALUE(Table1[[#This Row],[Date2]])</f>
        <v>45576</v>
      </c>
      <c r="C29" s="3" t="str">
        <f>TEXT(Table1[[#This Row],[Date]],"MMM")</f>
        <v>Oct</v>
      </c>
      <c r="D29" s="3" t="str">
        <f>"Q"&amp;ROUNDUP(MONTH(Table1[[#This Row],[Date]])/3,0)</f>
        <v>Q4</v>
      </c>
      <c r="E29" s="3">
        <f>YEAR(Table1[[#This Row],[Date]])</f>
        <v>2024</v>
      </c>
      <c r="F29" s="3" t="s">
        <v>122</v>
      </c>
      <c r="G29" s="3" t="s">
        <v>40</v>
      </c>
      <c r="H29" s="3" t="s">
        <v>34</v>
      </c>
      <c r="I29" s="3" t="s">
        <v>41</v>
      </c>
      <c r="J29" s="3">
        <v>7</v>
      </c>
      <c r="K29" s="3">
        <v>3000</v>
      </c>
      <c r="L29" s="3">
        <v>0</v>
      </c>
      <c r="M29" s="3">
        <v>21000</v>
      </c>
      <c r="N29" s="24">
        <f>(Table1[[#This Row],[Profit (PKR)]]/Table1[[#This Row],[Total Revenue (PKR)]])</f>
        <v>0.5</v>
      </c>
      <c r="O29" s="3">
        <v>1500</v>
      </c>
      <c r="P29" s="3">
        <v>10500</v>
      </c>
      <c r="Q29" s="3">
        <v>10500</v>
      </c>
      <c r="R29" s="3" t="s">
        <v>22</v>
      </c>
      <c r="S29" s="3" t="str">
        <f>IF(AND(Table1[[#This Row],[Total Revenue (PKR)]]&gt;50000, Table1[[#This Row],[Discount %]]&lt;10),"High Value","Standard")</f>
        <v>Standard</v>
      </c>
      <c r="T29" s="3" t="s">
        <v>23</v>
      </c>
      <c r="U29" s="7" t="s">
        <v>44</v>
      </c>
      <c r="V29" s="20" t="s">
        <v>121</v>
      </c>
    </row>
    <row r="30" spans="1:22" x14ac:dyDescent="0.25">
      <c r="A30" s="4" t="s">
        <v>123</v>
      </c>
      <c r="B30" s="15">
        <f>DATEVALUE(Table1[[#This Row],[Date2]])</f>
        <v>45317</v>
      </c>
      <c r="C30" s="2" t="str">
        <f>TEXT(Table1[[#This Row],[Date]],"MMM")</f>
        <v>Jan</v>
      </c>
      <c r="D30" s="2" t="str">
        <f>"Q"&amp;ROUNDUP(MONTH(Table1[[#This Row],[Date]])/3,0)</f>
        <v>Q1</v>
      </c>
      <c r="E30" s="2">
        <f>YEAR(Table1[[#This Row],[Date]])</f>
        <v>2024</v>
      </c>
      <c r="F30" s="2" t="s">
        <v>47</v>
      </c>
      <c r="G30" s="2" t="s">
        <v>74</v>
      </c>
      <c r="H30" s="2" t="s">
        <v>53</v>
      </c>
      <c r="I30" s="2" t="s">
        <v>101</v>
      </c>
      <c r="J30" s="2">
        <v>6</v>
      </c>
      <c r="K30" s="2">
        <v>1200</v>
      </c>
      <c r="L30" s="2">
        <v>0</v>
      </c>
      <c r="M30" s="2">
        <v>7200</v>
      </c>
      <c r="N30" s="23">
        <f>(Table1[[#This Row],[Profit (PKR)]]/Table1[[#This Row],[Total Revenue (PKR)]])</f>
        <v>0.41666666666666669</v>
      </c>
      <c r="O30" s="2">
        <v>700</v>
      </c>
      <c r="P30" s="2">
        <v>4200</v>
      </c>
      <c r="Q30" s="2">
        <v>3000</v>
      </c>
      <c r="R30" s="2" t="s">
        <v>22</v>
      </c>
      <c r="S30" s="2" t="str">
        <f>IF(AND(Table1[[#This Row],[Total Revenue (PKR)]]&gt;50000, Table1[[#This Row],[Discount %]]&lt;10),"High Value","Standard")</f>
        <v>Standard</v>
      </c>
      <c r="T30" s="2" t="s">
        <v>36</v>
      </c>
      <c r="U30" s="6" t="s">
        <v>44</v>
      </c>
      <c r="V30" s="19" t="s">
        <v>124</v>
      </c>
    </row>
    <row r="31" spans="1:22" x14ac:dyDescent="0.25">
      <c r="A31" s="5" t="s">
        <v>125</v>
      </c>
      <c r="B31" s="16">
        <f>DATEVALUE(Table1[[#This Row],[Date2]])</f>
        <v>45326</v>
      </c>
      <c r="C31" s="3" t="str">
        <f>TEXT(Table1[[#This Row],[Date]],"MMM")</f>
        <v>Feb</v>
      </c>
      <c r="D31" s="3" t="str">
        <f>"Q"&amp;ROUNDUP(MONTH(Table1[[#This Row],[Date]])/3,0)</f>
        <v>Q1</v>
      </c>
      <c r="E31" s="3">
        <f>YEAR(Table1[[#This Row],[Date]])</f>
        <v>2024</v>
      </c>
      <c r="F31" s="3" t="s">
        <v>33</v>
      </c>
      <c r="G31" s="3" t="s">
        <v>27</v>
      </c>
      <c r="H31" s="3" t="s">
        <v>28</v>
      </c>
      <c r="I31" s="3" t="s">
        <v>127</v>
      </c>
      <c r="J31" s="3">
        <v>8</v>
      </c>
      <c r="K31" s="3">
        <v>15000</v>
      </c>
      <c r="L31" s="3">
        <v>20</v>
      </c>
      <c r="M31" s="3">
        <v>96000</v>
      </c>
      <c r="N31" s="24">
        <f>(Table1[[#This Row],[Profit (PKR)]]/Table1[[#This Row],[Total Revenue (PKR)]])</f>
        <v>0.16666666666666666</v>
      </c>
      <c r="O31" s="3">
        <v>10000</v>
      </c>
      <c r="P31" s="3">
        <v>80000</v>
      </c>
      <c r="Q31" s="3">
        <v>16000</v>
      </c>
      <c r="R31" s="3" t="s">
        <v>22</v>
      </c>
      <c r="S31" s="3" t="str">
        <f>IF(AND(Table1[[#This Row],[Total Revenue (PKR)]]&gt;50000, Table1[[#This Row],[Discount %]]&lt;10),"High Value","Standard")</f>
        <v>Standard</v>
      </c>
      <c r="T31" s="3" t="s">
        <v>30</v>
      </c>
      <c r="U31" s="7" t="s">
        <v>44</v>
      </c>
      <c r="V31" s="20" t="s">
        <v>126</v>
      </c>
    </row>
    <row r="32" spans="1:22" x14ac:dyDescent="0.25">
      <c r="A32" s="4" t="s">
        <v>128</v>
      </c>
      <c r="B32" s="15">
        <f>DATEVALUE(Table1[[#This Row],[Date2]])</f>
        <v>45628</v>
      </c>
      <c r="C32" s="2" t="str">
        <f>TEXT(Table1[[#This Row],[Date]],"MMM")</f>
        <v>Dec</v>
      </c>
      <c r="D32" s="2" t="str">
        <f>"Q"&amp;ROUNDUP(MONTH(Table1[[#This Row],[Date]])/3,0)</f>
        <v>Q4</v>
      </c>
      <c r="E32" s="2">
        <f>YEAR(Table1[[#This Row],[Date]])</f>
        <v>2024</v>
      </c>
      <c r="F32" s="2" t="s">
        <v>47</v>
      </c>
      <c r="G32" s="2" t="s">
        <v>52</v>
      </c>
      <c r="H32" s="2" t="s">
        <v>20</v>
      </c>
      <c r="I32" s="2" t="s">
        <v>21</v>
      </c>
      <c r="J32" s="2">
        <v>11</v>
      </c>
      <c r="K32" s="2">
        <v>3500</v>
      </c>
      <c r="L32" s="2">
        <v>5</v>
      </c>
      <c r="M32" s="2">
        <v>36575</v>
      </c>
      <c r="N32" s="23">
        <f>(Table1[[#This Row],[Profit (PKR)]]/Table1[[#This Row],[Total Revenue (PKR)]])</f>
        <v>0.39849624060150374</v>
      </c>
      <c r="O32" s="2">
        <v>2000</v>
      </c>
      <c r="P32" s="2">
        <v>22000</v>
      </c>
      <c r="Q32" s="2">
        <v>14575</v>
      </c>
      <c r="R32" s="2" t="s">
        <v>42</v>
      </c>
      <c r="S32" s="2" t="str">
        <f>IF(AND(Table1[[#This Row],[Total Revenue (PKR)]]&gt;50000, Table1[[#This Row],[Discount %]]&lt;10),"High Value","Standard")</f>
        <v>Standard</v>
      </c>
      <c r="T32" s="2" t="s">
        <v>66</v>
      </c>
      <c r="U32" s="6" t="s">
        <v>44</v>
      </c>
      <c r="V32" s="19" t="s">
        <v>129</v>
      </c>
    </row>
    <row r="33" spans="1:22" x14ac:dyDescent="0.25">
      <c r="A33" s="5" t="s">
        <v>130</v>
      </c>
      <c r="B33" s="16">
        <f>DATEVALUE(Table1[[#This Row],[Date2]])</f>
        <v>45622</v>
      </c>
      <c r="C33" s="3" t="str">
        <f>TEXT(Table1[[#This Row],[Date]],"MMM")</f>
        <v>Nov</v>
      </c>
      <c r="D33" s="3" t="str">
        <f>"Q"&amp;ROUNDUP(MONTH(Table1[[#This Row],[Date]])/3,0)</f>
        <v>Q4</v>
      </c>
      <c r="E33" s="3">
        <f>YEAR(Table1[[#This Row],[Date]])</f>
        <v>2024</v>
      </c>
      <c r="F33" s="3" t="s">
        <v>39</v>
      </c>
      <c r="G33" s="3" t="s">
        <v>74</v>
      </c>
      <c r="H33" s="3" t="s">
        <v>20</v>
      </c>
      <c r="I33" s="3" t="s">
        <v>65</v>
      </c>
      <c r="J33" s="3">
        <v>1</v>
      </c>
      <c r="K33" s="3">
        <v>18000</v>
      </c>
      <c r="L33" s="3">
        <v>15</v>
      </c>
      <c r="M33" s="3">
        <v>15300</v>
      </c>
      <c r="N33" s="24">
        <f>(Table1[[#This Row],[Profit (PKR)]]/Table1[[#This Row],[Total Revenue (PKR)]])</f>
        <v>0.21568627450980393</v>
      </c>
      <c r="O33" s="3">
        <v>12000</v>
      </c>
      <c r="P33" s="3">
        <v>12000</v>
      </c>
      <c r="Q33" s="3">
        <v>3300</v>
      </c>
      <c r="R33" s="3" t="s">
        <v>22</v>
      </c>
      <c r="S33" s="3" t="str">
        <f>IF(AND(Table1[[#This Row],[Total Revenue (PKR)]]&gt;50000, Table1[[#This Row],[Discount %]]&lt;10),"High Value","Standard")</f>
        <v>Standard</v>
      </c>
      <c r="T33" s="3" t="s">
        <v>43</v>
      </c>
      <c r="U33" s="7" t="s">
        <v>44</v>
      </c>
      <c r="V33" s="20" t="s">
        <v>111</v>
      </c>
    </row>
    <row r="34" spans="1:22" x14ac:dyDescent="0.25">
      <c r="A34" s="4" t="s">
        <v>131</v>
      </c>
      <c r="B34" s="15">
        <f>DATEVALUE(Table1[[#This Row],[Date2]])</f>
        <v>45551</v>
      </c>
      <c r="C34" s="2" t="str">
        <f>TEXT(Table1[[#This Row],[Date]],"MMM")</f>
        <v>Sep</v>
      </c>
      <c r="D34" s="2" t="str">
        <f>"Q"&amp;ROUNDUP(MONTH(Table1[[#This Row],[Date]])/3,0)</f>
        <v>Q3</v>
      </c>
      <c r="E34" s="2">
        <f>YEAR(Table1[[#This Row],[Date]])</f>
        <v>2024</v>
      </c>
      <c r="F34" s="2" t="s">
        <v>39</v>
      </c>
      <c r="G34" s="2" t="s">
        <v>40</v>
      </c>
      <c r="H34" s="2" t="s">
        <v>20</v>
      </c>
      <c r="I34" s="2" t="s">
        <v>65</v>
      </c>
      <c r="J34" s="2">
        <v>8</v>
      </c>
      <c r="K34" s="2">
        <v>18000</v>
      </c>
      <c r="L34" s="2">
        <v>10</v>
      </c>
      <c r="M34" s="2">
        <v>129600</v>
      </c>
      <c r="N34" s="23">
        <f>(Table1[[#This Row],[Profit (PKR)]]/Table1[[#This Row],[Total Revenue (PKR)]])</f>
        <v>0.25925925925925924</v>
      </c>
      <c r="O34" s="2">
        <v>12000</v>
      </c>
      <c r="P34" s="2">
        <v>96000</v>
      </c>
      <c r="Q34" s="2">
        <v>33600</v>
      </c>
      <c r="R34" s="2" t="s">
        <v>42</v>
      </c>
      <c r="S34" s="2" t="str">
        <f>IF(AND(Table1[[#This Row],[Total Revenue (PKR)]]&gt;50000, Table1[[#This Row],[Discount %]]&lt;10),"High Value","Standard")</f>
        <v>Standard</v>
      </c>
      <c r="T34" s="2" t="s">
        <v>36</v>
      </c>
      <c r="U34" s="6" t="s">
        <v>44</v>
      </c>
      <c r="V34" s="19" t="s">
        <v>132</v>
      </c>
    </row>
    <row r="35" spans="1:22" x14ac:dyDescent="0.25">
      <c r="A35" s="5" t="s">
        <v>133</v>
      </c>
      <c r="B35" s="16">
        <f>DATEVALUE(Table1[[#This Row],[Date2]])</f>
        <v>45570</v>
      </c>
      <c r="C35" s="3" t="str">
        <f>TEXT(Table1[[#This Row],[Date]],"MMM")</f>
        <v>Oct</v>
      </c>
      <c r="D35" s="3" t="str">
        <f>"Q"&amp;ROUNDUP(MONTH(Table1[[#This Row],[Date]])/3,0)</f>
        <v>Q4</v>
      </c>
      <c r="E35" s="3">
        <f>YEAR(Table1[[#This Row],[Date]])</f>
        <v>2024</v>
      </c>
      <c r="F35" s="3" t="s">
        <v>39</v>
      </c>
      <c r="G35" s="3" t="s">
        <v>19</v>
      </c>
      <c r="H35" s="3" t="s">
        <v>53</v>
      </c>
      <c r="I35" s="3" t="s">
        <v>85</v>
      </c>
      <c r="J35" s="3">
        <v>4</v>
      </c>
      <c r="K35" s="3">
        <v>1500</v>
      </c>
      <c r="L35" s="3">
        <v>5</v>
      </c>
      <c r="M35" s="3">
        <v>5700</v>
      </c>
      <c r="N35" s="24">
        <f>(Table1[[#This Row],[Profit (PKR)]]/Table1[[#This Row],[Total Revenue (PKR)]])</f>
        <v>0.43859649122807015</v>
      </c>
      <c r="O35" s="3">
        <v>800</v>
      </c>
      <c r="P35" s="3">
        <v>3200</v>
      </c>
      <c r="Q35" s="3">
        <v>2500</v>
      </c>
      <c r="R35" s="3" t="s">
        <v>42</v>
      </c>
      <c r="S35" s="3" t="str">
        <f>IF(AND(Table1[[#This Row],[Total Revenue (PKR)]]&gt;50000, Table1[[#This Row],[Discount %]]&lt;10),"High Value","Standard")</f>
        <v>Standard</v>
      </c>
      <c r="T35" s="3" t="s">
        <v>43</v>
      </c>
      <c r="U35" s="7" t="s">
        <v>86</v>
      </c>
      <c r="V35" s="20" t="s">
        <v>134</v>
      </c>
    </row>
    <row r="36" spans="1:22" x14ac:dyDescent="0.25">
      <c r="A36" s="4" t="s">
        <v>135</v>
      </c>
      <c r="B36" s="15">
        <f>DATEVALUE(Table1[[#This Row],[Date2]])</f>
        <v>45575</v>
      </c>
      <c r="C36" s="2" t="str">
        <f>TEXT(Table1[[#This Row],[Date]],"MMM")</f>
        <v>Oct</v>
      </c>
      <c r="D36" s="2" t="str">
        <f>"Q"&amp;ROUNDUP(MONTH(Table1[[#This Row],[Date]])/3,0)</f>
        <v>Q4</v>
      </c>
      <c r="E36" s="2">
        <f>YEAR(Table1[[#This Row],[Date]])</f>
        <v>2024</v>
      </c>
      <c r="F36" s="2" t="s">
        <v>92</v>
      </c>
      <c r="G36" s="2" t="s">
        <v>48</v>
      </c>
      <c r="H36" s="2" t="s">
        <v>20</v>
      </c>
      <c r="I36" s="2" t="s">
        <v>137</v>
      </c>
      <c r="J36" s="2">
        <v>7</v>
      </c>
      <c r="K36" s="2">
        <v>15000</v>
      </c>
      <c r="L36" s="2">
        <v>25</v>
      </c>
      <c r="M36" s="2">
        <v>78750</v>
      </c>
      <c r="N36" s="23">
        <f>(Table1[[#This Row],[Profit (PKR)]]/Table1[[#This Row],[Total Revenue (PKR)]])</f>
        <v>0.1111111111111111</v>
      </c>
      <c r="O36" s="2">
        <v>10000</v>
      </c>
      <c r="P36" s="2">
        <v>70000</v>
      </c>
      <c r="Q36" s="2">
        <v>8750</v>
      </c>
      <c r="R36" s="2" t="s">
        <v>42</v>
      </c>
      <c r="S36" s="2" t="str">
        <f>IF(AND(Table1[[#This Row],[Total Revenue (PKR)]]&gt;50000, Table1[[#This Row],[Discount %]]&lt;10),"High Value","Standard")</f>
        <v>Standard</v>
      </c>
      <c r="T36" s="2" t="s">
        <v>36</v>
      </c>
      <c r="U36" s="6" t="s">
        <v>24</v>
      </c>
      <c r="V36" s="19" t="s">
        <v>136</v>
      </c>
    </row>
    <row r="37" spans="1:22" x14ac:dyDescent="0.25">
      <c r="A37" s="5" t="s">
        <v>138</v>
      </c>
      <c r="B37" s="16">
        <f>DATEVALUE(Table1[[#This Row],[Date2]])</f>
        <v>45427</v>
      </c>
      <c r="C37" s="3" t="str">
        <f>TEXT(Table1[[#This Row],[Date]],"MMM")</f>
        <v>May</v>
      </c>
      <c r="D37" s="3" t="str">
        <f>"Q"&amp;ROUNDUP(MONTH(Table1[[#This Row],[Date]])/3,0)</f>
        <v>Q2</v>
      </c>
      <c r="E37" s="3">
        <f>YEAR(Table1[[#This Row],[Date]])</f>
        <v>2024</v>
      </c>
      <c r="F37" s="3" t="s">
        <v>63</v>
      </c>
      <c r="G37" s="3" t="s">
        <v>74</v>
      </c>
      <c r="H37" s="3" t="s">
        <v>20</v>
      </c>
      <c r="I37" s="3" t="s">
        <v>65</v>
      </c>
      <c r="J37" s="3">
        <v>3</v>
      </c>
      <c r="K37" s="3">
        <v>18000</v>
      </c>
      <c r="L37" s="3">
        <v>25</v>
      </c>
      <c r="M37" s="3">
        <v>40500</v>
      </c>
      <c r="N37" s="24">
        <f>(Table1[[#This Row],[Profit (PKR)]]/Table1[[#This Row],[Total Revenue (PKR)]])</f>
        <v>0.1111111111111111</v>
      </c>
      <c r="O37" s="3">
        <v>12000</v>
      </c>
      <c r="P37" s="3">
        <v>36000</v>
      </c>
      <c r="Q37" s="3">
        <v>4500</v>
      </c>
      <c r="R37" s="3" t="s">
        <v>42</v>
      </c>
      <c r="S37" s="3" t="str">
        <f>IF(AND(Table1[[#This Row],[Total Revenue (PKR)]]&gt;50000, Table1[[#This Row],[Discount %]]&lt;10),"High Value","Standard")</f>
        <v>Standard</v>
      </c>
      <c r="T37" s="3" t="s">
        <v>55</v>
      </c>
      <c r="U37" s="7" t="s">
        <v>44</v>
      </c>
      <c r="V37" s="20" t="s">
        <v>139</v>
      </c>
    </row>
    <row r="38" spans="1:22" x14ac:dyDescent="0.25">
      <c r="A38" s="4" t="s">
        <v>140</v>
      </c>
      <c r="B38" s="15">
        <f>DATEVALUE(Table1[[#This Row],[Date2]])</f>
        <v>45462</v>
      </c>
      <c r="C38" s="2" t="str">
        <f>TEXT(Table1[[#This Row],[Date]],"MMM")</f>
        <v>Jun</v>
      </c>
      <c r="D38" s="2" t="str">
        <f>"Q"&amp;ROUNDUP(MONTH(Table1[[#This Row],[Date]])/3,0)</f>
        <v>Q2</v>
      </c>
      <c r="E38" s="2">
        <f>YEAR(Table1[[#This Row],[Date]])</f>
        <v>2024</v>
      </c>
      <c r="F38" s="2" t="s">
        <v>92</v>
      </c>
      <c r="G38" s="2" t="s">
        <v>48</v>
      </c>
      <c r="H38" s="2" t="s">
        <v>34</v>
      </c>
      <c r="I38" s="2" t="s">
        <v>35</v>
      </c>
      <c r="J38" s="2">
        <v>18</v>
      </c>
      <c r="K38" s="2">
        <v>6000</v>
      </c>
      <c r="L38" s="2">
        <v>25</v>
      </c>
      <c r="M38" s="2">
        <v>81000</v>
      </c>
      <c r="N38" s="23">
        <f>(Table1[[#This Row],[Profit (PKR)]]/Table1[[#This Row],[Total Revenue (PKR)]])</f>
        <v>0.22222222222222221</v>
      </c>
      <c r="O38" s="2">
        <v>3500</v>
      </c>
      <c r="P38" s="2">
        <v>63000</v>
      </c>
      <c r="Q38" s="2">
        <v>18000</v>
      </c>
      <c r="R38" s="2" t="s">
        <v>42</v>
      </c>
      <c r="S38" s="2" t="str">
        <f>IF(AND(Table1[[#This Row],[Total Revenue (PKR)]]&gt;50000, Table1[[#This Row],[Discount %]]&lt;10),"High Value","Standard")</f>
        <v>Standard</v>
      </c>
      <c r="T38" s="2" t="s">
        <v>30</v>
      </c>
      <c r="U38" s="6" t="s">
        <v>44</v>
      </c>
      <c r="V38" s="19" t="s">
        <v>141</v>
      </c>
    </row>
    <row r="39" spans="1:22" x14ac:dyDescent="0.25">
      <c r="A39" s="5" t="s">
        <v>142</v>
      </c>
      <c r="B39" s="16">
        <f>DATEVALUE(Table1[[#This Row],[Date2]])</f>
        <v>45330</v>
      </c>
      <c r="C39" s="3" t="str">
        <f>TEXT(Table1[[#This Row],[Date]],"MMM")</f>
        <v>Feb</v>
      </c>
      <c r="D39" s="3" t="str">
        <f>"Q"&amp;ROUNDUP(MONTH(Table1[[#This Row],[Date]])/3,0)</f>
        <v>Q1</v>
      </c>
      <c r="E39" s="3">
        <f>YEAR(Table1[[#This Row],[Date]])</f>
        <v>2024</v>
      </c>
      <c r="F39" s="3" t="s">
        <v>92</v>
      </c>
      <c r="G39" s="3" t="s">
        <v>19</v>
      </c>
      <c r="H39" s="3" t="s">
        <v>20</v>
      </c>
      <c r="I39" s="3" t="s">
        <v>137</v>
      </c>
      <c r="J39" s="3">
        <v>18</v>
      </c>
      <c r="K39" s="3">
        <v>15000</v>
      </c>
      <c r="L39" s="3">
        <v>5</v>
      </c>
      <c r="M39" s="3">
        <v>256500</v>
      </c>
      <c r="N39" s="24">
        <f>(Table1[[#This Row],[Profit (PKR)]]/Table1[[#This Row],[Total Revenue (PKR)]])</f>
        <v>0.2982456140350877</v>
      </c>
      <c r="O39" s="3">
        <v>10000</v>
      </c>
      <c r="P39" s="3">
        <v>180000</v>
      </c>
      <c r="Q39" s="3">
        <v>76500</v>
      </c>
      <c r="R39" s="3" t="s">
        <v>42</v>
      </c>
      <c r="S39" s="3" t="str">
        <f>IF(AND(Table1[[#This Row],[Total Revenue (PKR)]]&gt;50000, Table1[[#This Row],[Discount %]]&lt;10),"High Value","Standard")</f>
        <v>High Value</v>
      </c>
      <c r="T39" s="3" t="s">
        <v>36</v>
      </c>
      <c r="U39" s="7" t="s">
        <v>44</v>
      </c>
      <c r="V39" s="20" t="s">
        <v>143</v>
      </c>
    </row>
    <row r="40" spans="1:22" x14ac:dyDescent="0.25">
      <c r="A40" s="4" t="s">
        <v>144</v>
      </c>
      <c r="B40" s="15">
        <f>DATEVALUE(Table1[[#This Row],[Date2]])</f>
        <v>45478</v>
      </c>
      <c r="C40" s="2" t="str">
        <f>TEXT(Table1[[#This Row],[Date]],"MMM")</f>
        <v>Jul</v>
      </c>
      <c r="D40" s="2" t="str">
        <f>"Q"&amp;ROUNDUP(MONTH(Table1[[#This Row],[Date]])/3,0)</f>
        <v>Q3</v>
      </c>
      <c r="E40" s="2">
        <f>YEAR(Table1[[#This Row],[Date]])</f>
        <v>2024</v>
      </c>
      <c r="F40" s="2" t="s">
        <v>104</v>
      </c>
      <c r="G40" s="2" t="s">
        <v>52</v>
      </c>
      <c r="H40" s="2" t="s">
        <v>34</v>
      </c>
      <c r="I40" s="2" t="s">
        <v>146</v>
      </c>
      <c r="J40" s="2">
        <v>4</v>
      </c>
      <c r="K40" s="2">
        <v>3500</v>
      </c>
      <c r="L40" s="2">
        <v>10</v>
      </c>
      <c r="M40" s="2">
        <v>12600</v>
      </c>
      <c r="N40" s="23">
        <f>(Table1[[#This Row],[Profit (PKR)]]/Table1[[#This Row],[Total Revenue (PKR)]])</f>
        <v>0.42857142857142855</v>
      </c>
      <c r="O40" s="2">
        <v>1800</v>
      </c>
      <c r="P40" s="2">
        <v>7200</v>
      </c>
      <c r="Q40" s="2">
        <v>5400</v>
      </c>
      <c r="R40" s="2" t="s">
        <v>42</v>
      </c>
      <c r="S40" s="2" t="str">
        <f>IF(AND(Table1[[#This Row],[Total Revenue (PKR)]]&gt;50000, Table1[[#This Row],[Discount %]]&lt;10),"High Value","Standard")</f>
        <v>Standard</v>
      </c>
      <c r="T40" s="2" t="s">
        <v>30</v>
      </c>
      <c r="U40" s="6" t="s">
        <v>24</v>
      </c>
      <c r="V40" s="19" t="s">
        <v>145</v>
      </c>
    </row>
    <row r="41" spans="1:22" x14ac:dyDescent="0.25">
      <c r="A41" s="5" t="s">
        <v>147</v>
      </c>
      <c r="B41" s="16">
        <f>DATEVALUE(Table1[[#This Row],[Date2]])</f>
        <v>45413</v>
      </c>
      <c r="C41" s="3" t="str">
        <f>TEXT(Table1[[#This Row],[Date]],"MMM")</f>
        <v>May</v>
      </c>
      <c r="D41" s="3" t="str">
        <f>"Q"&amp;ROUNDUP(MONTH(Table1[[#This Row],[Date]])/3,0)</f>
        <v>Q2</v>
      </c>
      <c r="E41" s="3">
        <f>YEAR(Table1[[#This Row],[Date]])</f>
        <v>2024</v>
      </c>
      <c r="F41" s="3" t="s">
        <v>92</v>
      </c>
      <c r="G41" s="3" t="s">
        <v>40</v>
      </c>
      <c r="H41" s="3" t="s">
        <v>93</v>
      </c>
      <c r="I41" s="3" t="s">
        <v>119</v>
      </c>
      <c r="J41" s="3">
        <v>6</v>
      </c>
      <c r="K41" s="3">
        <v>800</v>
      </c>
      <c r="L41" s="3">
        <v>25</v>
      </c>
      <c r="M41" s="3">
        <v>3600</v>
      </c>
      <c r="N41" s="24">
        <f>(Table1[[#This Row],[Profit (PKR)]]/Table1[[#This Row],[Total Revenue (PKR)]])</f>
        <v>0</v>
      </c>
      <c r="O41" s="3">
        <v>600</v>
      </c>
      <c r="P41" s="3">
        <v>3600</v>
      </c>
      <c r="Q41" s="3">
        <v>0</v>
      </c>
      <c r="R41" s="3" t="s">
        <v>42</v>
      </c>
      <c r="S41" s="3" t="str">
        <f>IF(AND(Table1[[#This Row],[Total Revenue (PKR)]]&gt;50000, Table1[[#This Row],[Discount %]]&lt;10),"High Value","Standard")</f>
        <v>Standard</v>
      </c>
      <c r="T41" s="3" t="s">
        <v>66</v>
      </c>
      <c r="U41" s="7" t="s">
        <v>86</v>
      </c>
      <c r="V41" s="20" t="s">
        <v>148</v>
      </c>
    </row>
    <row r="42" spans="1:22" x14ac:dyDescent="0.25">
      <c r="A42" s="4" t="s">
        <v>149</v>
      </c>
      <c r="B42" s="15">
        <f>DATEVALUE(Table1[[#This Row],[Date2]])</f>
        <v>45419</v>
      </c>
      <c r="C42" s="2" t="str">
        <f>TEXT(Table1[[#This Row],[Date]],"MMM")</f>
        <v>May</v>
      </c>
      <c r="D42" s="2" t="str">
        <f>"Q"&amp;ROUNDUP(MONTH(Table1[[#This Row],[Date]])/3,0)</f>
        <v>Q2</v>
      </c>
      <c r="E42" s="2">
        <f>YEAR(Table1[[#This Row],[Date]])</f>
        <v>2024</v>
      </c>
      <c r="F42" s="2" t="s">
        <v>39</v>
      </c>
      <c r="G42" s="2" t="s">
        <v>40</v>
      </c>
      <c r="H42" s="2" t="s">
        <v>28</v>
      </c>
      <c r="I42" s="2" t="s">
        <v>49</v>
      </c>
      <c r="J42" s="2">
        <v>2</v>
      </c>
      <c r="K42" s="2">
        <v>5000</v>
      </c>
      <c r="L42" s="2">
        <v>15</v>
      </c>
      <c r="M42" s="2">
        <v>8500</v>
      </c>
      <c r="N42" s="23">
        <f>(Table1[[#This Row],[Profit (PKR)]]/Table1[[#This Row],[Total Revenue (PKR)]])</f>
        <v>0.29411764705882354</v>
      </c>
      <c r="O42" s="2">
        <v>3000</v>
      </c>
      <c r="P42" s="2">
        <v>6000</v>
      </c>
      <c r="Q42" s="2">
        <v>2500</v>
      </c>
      <c r="R42" s="2" t="s">
        <v>22</v>
      </c>
      <c r="S42" s="2" t="str">
        <f>IF(AND(Table1[[#This Row],[Total Revenue (PKR)]]&gt;50000, Table1[[#This Row],[Discount %]]&lt;10),"High Value","Standard")</f>
        <v>Standard</v>
      </c>
      <c r="T42" s="2" t="s">
        <v>36</v>
      </c>
      <c r="U42" s="6" t="s">
        <v>86</v>
      </c>
      <c r="V42" s="19" t="s">
        <v>150</v>
      </c>
    </row>
    <row r="43" spans="1:22" x14ac:dyDescent="0.25">
      <c r="A43" s="5" t="s">
        <v>151</v>
      </c>
      <c r="B43" s="16">
        <f>DATEVALUE(Table1[[#This Row],[Date2]])</f>
        <v>45527</v>
      </c>
      <c r="C43" s="3" t="str">
        <f>TEXT(Table1[[#This Row],[Date]],"MMM")</f>
        <v>Aug</v>
      </c>
      <c r="D43" s="3" t="str">
        <f>"Q"&amp;ROUNDUP(MONTH(Table1[[#This Row],[Date]])/3,0)</f>
        <v>Q3</v>
      </c>
      <c r="E43" s="3">
        <f>YEAR(Table1[[#This Row],[Date]])</f>
        <v>2024</v>
      </c>
      <c r="F43" s="3" t="s">
        <v>100</v>
      </c>
      <c r="G43" s="3" t="s">
        <v>48</v>
      </c>
      <c r="H43" s="3" t="s">
        <v>34</v>
      </c>
      <c r="I43" s="3" t="s">
        <v>146</v>
      </c>
      <c r="J43" s="3">
        <v>1</v>
      </c>
      <c r="K43" s="3">
        <v>3500</v>
      </c>
      <c r="L43" s="3">
        <v>25</v>
      </c>
      <c r="M43" s="3">
        <v>2625</v>
      </c>
      <c r="N43" s="24">
        <f>(Table1[[#This Row],[Profit (PKR)]]/Table1[[#This Row],[Total Revenue (PKR)]])</f>
        <v>0.31428571428571428</v>
      </c>
      <c r="O43" s="3">
        <v>1800</v>
      </c>
      <c r="P43" s="3">
        <v>1800</v>
      </c>
      <c r="Q43" s="3">
        <v>825</v>
      </c>
      <c r="R43" s="3" t="s">
        <v>22</v>
      </c>
      <c r="S43" s="3" t="str">
        <f>IF(AND(Table1[[#This Row],[Total Revenue (PKR)]]&gt;50000, Table1[[#This Row],[Discount %]]&lt;10),"High Value","Standard")</f>
        <v>Standard</v>
      </c>
      <c r="T43" s="3" t="s">
        <v>66</v>
      </c>
      <c r="U43" s="7" t="s">
        <v>44</v>
      </c>
      <c r="V43" s="20" t="s">
        <v>152</v>
      </c>
    </row>
    <row r="44" spans="1:22" x14ac:dyDescent="0.25">
      <c r="A44" s="4" t="s">
        <v>153</v>
      </c>
      <c r="B44" s="15">
        <f>DATEVALUE(Table1[[#This Row],[Date2]])</f>
        <v>45327</v>
      </c>
      <c r="C44" s="2" t="str">
        <f>TEXT(Table1[[#This Row],[Date]],"MMM")</f>
        <v>Feb</v>
      </c>
      <c r="D44" s="2" t="str">
        <f>"Q"&amp;ROUNDUP(MONTH(Table1[[#This Row],[Date]])/3,0)</f>
        <v>Q1</v>
      </c>
      <c r="E44" s="2">
        <f>YEAR(Table1[[#This Row],[Date]])</f>
        <v>2024</v>
      </c>
      <c r="F44" s="2" t="s">
        <v>39</v>
      </c>
      <c r="G44" s="2" t="s">
        <v>52</v>
      </c>
      <c r="H44" s="2" t="s">
        <v>53</v>
      </c>
      <c r="I44" s="2" t="s">
        <v>71</v>
      </c>
      <c r="J44" s="2">
        <v>18</v>
      </c>
      <c r="K44" s="2">
        <v>8000</v>
      </c>
      <c r="L44" s="2">
        <v>10</v>
      </c>
      <c r="M44" s="2">
        <v>129600</v>
      </c>
      <c r="N44" s="23">
        <f>(Table1[[#This Row],[Profit (PKR)]]/Table1[[#This Row],[Total Revenue (PKR)]])</f>
        <v>0.30555555555555558</v>
      </c>
      <c r="O44" s="2">
        <v>5000</v>
      </c>
      <c r="P44" s="2">
        <v>90000</v>
      </c>
      <c r="Q44" s="2">
        <v>39600</v>
      </c>
      <c r="R44" s="2" t="s">
        <v>22</v>
      </c>
      <c r="S44" s="2" t="str">
        <f>IF(AND(Table1[[#This Row],[Total Revenue (PKR)]]&gt;50000, Table1[[#This Row],[Discount %]]&lt;10),"High Value","Standard")</f>
        <v>Standard</v>
      </c>
      <c r="T44" s="2" t="s">
        <v>43</v>
      </c>
      <c r="U44" s="6" t="s">
        <v>86</v>
      </c>
      <c r="V44" s="19" t="s">
        <v>154</v>
      </c>
    </row>
    <row r="45" spans="1:22" x14ac:dyDescent="0.25">
      <c r="A45" s="5" t="s">
        <v>155</v>
      </c>
      <c r="B45" s="16">
        <f>DATEVALUE(Table1[[#This Row],[Date2]])</f>
        <v>45425</v>
      </c>
      <c r="C45" s="3" t="str">
        <f>TEXT(Table1[[#This Row],[Date]],"MMM")</f>
        <v>May</v>
      </c>
      <c r="D45" s="3" t="str">
        <f>"Q"&amp;ROUNDUP(MONTH(Table1[[#This Row],[Date]])/3,0)</f>
        <v>Q2</v>
      </c>
      <c r="E45" s="3">
        <f>YEAR(Table1[[#This Row],[Date]])</f>
        <v>2024</v>
      </c>
      <c r="F45" s="3" t="s">
        <v>92</v>
      </c>
      <c r="G45" s="3" t="s">
        <v>48</v>
      </c>
      <c r="H45" s="3" t="s">
        <v>28</v>
      </c>
      <c r="I45" s="3" t="s">
        <v>29</v>
      </c>
      <c r="J45" s="3">
        <v>20</v>
      </c>
      <c r="K45" s="3">
        <v>25000</v>
      </c>
      <c r="L45" s="3">
        <v>15</v>
      </c>
      <c r="M45" s="3">
        <v>425000</v>
      </c>
      <c r="N45" s="24">
        <f>(Table1[[#This Row],[Profit (PKR)]]/Table1[[#This Row],[Total Revenue (PKR)]])</f>
        <v>0.15294117647058825</v>
      </c>
      <c r="O45" s="3">
        <v>18000</v>
      </c>
      <c r="P45" s="3">
        <v>360000</v>
      </c>
      <c r="Q45" s="3">
        <v>65000</v>
      </c>
      <c r="R45" s="3" t="s">
        <v>42</v>
      </c>
      <c r="S45" s="3" t="str">
        <f>IF(AND(Table1[[#This Row],[Total Revenue (PKR)]]&gt;50000, Table1[[#This Row],[Discount %]]&lt;10),"High Value","Standard")</f>
        <v>Standard</v>
      </c>
      <c r="T45" s="3" t="s">
        <v>23</v>
      </c>
      <c r="U45" s="7" t="s">
        <v>86</v>
      </c>
      <c r="V45" s="20" t="s">
        <v>156</v>
      </c>
    </row>
    <row r="46" spans="1:22" x14ac:dyDescent="0.25">
      <c r="A46" s="4" t="s">
        <v>157</v>
      </c>
      <c r="B46" s="15">
        <f>DATEVALUE(Table1[[#This Row],[Date2]])</f>
        <v>45515</v>
      </c>
      <c r="C46" s="2" t="str">
        <f>TEXT(Table1[[#This Row],[Date]],"MMM")</f>
        <v>Aug</v>
      </c>
      <c r="D46" s="2" t="str">
        <f>"Q"&amp;ROUNDUP(MONTH(Table1[[#This Row],[Date]])/3,0)</f>
        <v>Q3</v>
      </c>
      <c r="E46" s="2">
        <f>YEAR(Table1[[#This Row],[Date]])</f>
        <v>2024</v>
      </c>
      <c r="F46" s="2" t="s">
        <v>47</v>
      </c>
      <c r="G46" s="2" t="s">
        <v>159</v>
      </c>
      <c r="H46" s="2" t="s">
        <v>93</v>
      </c>
      <c r="I46" s="2" t="s">
        <v>94</v>
      </c>
      <c r="J46" s="2">
        <v>7</v>
      </c>
      <c r="K46" s="2">
        <v>1200</v>
      </c>
      <c r="L46" s="2">
        <v>10</v>
      </c>
      <c r="M46" s="2">
        <v>7560</v>
      </c>
      <c r="N46" s="23">
        <f>(Table1[[#This Row],[Profit (PKR)]]/Table1[[#This Row],[Total Revenue (PKR)]])</f>
        <v>0.16666666666666666</v>
      </c>
      <c r="O46" s="2">
        <v>900</v>
      </c>
      <c r="P46" s="2">
        <v>6300</v>
      </c>
      <c r="Q46" s="2">
        <v>1260</v>
      </c>
      <c r="R46" s="2" t="s">
        <v>22</v>
      </c>
      <c r="S46" s="2" t="str">
        <f>IF(AND(Table1[[#This Row],[Total Revenue (PKR)]]&gt;50000, Table1[[#This Row],[Discount %]]&lt;10),"High Value","Standard")</f>
        <v>Standard</v>
      </c>
      <c r="T46" s="2" t="s">
        <v>23</v>
      </c>
      <c r="U46" s="6" t="s">
        <v>44</v>
      </c>
      <c r="V46" s="19" t="s">
        <v>158</v>
      </c>
    </row>
    <row r="47" spans="1:22" x14ac:dyDescent="0.25">
      <c r="A47" s="5" t="s">
        <v>160</v>
      </c>
      <c r="B47" s="16">
        <f>DATEVALUE(Table1[[#This Row],[Date2]])</f>
        <v>45558</v>
      </c>
      <c r="C47" s="3" t="str">
        <f>TEXT(Table1[[#This Row],[Date]],"MMM")</f>
        <v>Sep</v>
      </c>
      <c r="D47" s="3" t="str">
        <f>"Q"&amp;ROUNDUP(MONTH(Table1[[#This Row],[Date]])/3,0)</f>
        <v>Q3</v>
      </c>
      <c r="E47" s="3">
        <f>YEAR(Table1[[#This Row],[Date]])</f>
        <v>2024</v>
      </c>
      <c r="F47" s="3" t="s">
        <v>63</v>
      </c>
      <c r="G47" s="3" t="s">
        <v>64</v>
      </c>
      <c r="H47" s="3" t="s">
        <v>20</v>
      </c>
      <c r="I47" s="3" t="s">
        <v>59</v>
      </c>
      <c r="J47" s="3">
        <v>3</v>
      </c>
      <c r="K47" s="3">
        <v>12000</v>
      </c>
      <c r="L47" s="3">
        <v>25</v>
      </c>
      <c r="M47" s="3">
        <v>27000</v>
      </c>
      <c r="N47" s="24">
        <f>(Table1[[#This Row],[Profit (PKR)]]/Table1[[#This Row],[Total Revenue (PKR)]])</f>
        <v>0.1111111111111111</v>
      </c>
      <c r="O47" s="3">
        <v>8000</v>
      </c>
      <c r="P47" s="3">
        <v>24000</v>
      </c>
      <c r="Q47" s="3">
        <v>3000</v>
      </c>
      <c r="R47" s="3" t="s">
        <v>42</v>
      </c>
      <c r="S47" s="3" t="str">
        <f>IF(AND(Table1[[#This Row],[Total Revenue (PKR)]]&gt;50000, Table1[[#This Row],[Discount %]]&lt;10),"High Value","Standard")</f>
        <v>Standard</v>
      </c>
      <c r="T47" s="3" t="s">
        <v>30</v>
      </c>
      <c r="U47" s="7" t="s">
        <v>44</v>
      </c>
      <c r="V47" s="20" t="s">
        <v>161</v>
      </c>
    </row>
    <row r="48" spans="1:22" x14ac:dyDescent="0.25">
      <c r="A48" s="4" t="s">
        <v>162</v>
      </c>
      <c r="B48" s="15">
        <f>DATEVALUE(Table1[[#This Row],[Date2]])</f>
        <v>45355</v>
      </c>
      <c r="C48" s="2" t="str">
        <f>TEXT(Table1[[#This Row],[Date]],"MMM")</f>
        <v>Mar</v>
      </c>
      <c r="D48" s="2" t="str">
        <f>"Q"&amp;ROUNDUP(MONTH(Table1[[#This Row],[Date]])/3,0)</f>
        <v>Q1</v>
      </c>
      <c r="E48" s="2">
        <f>YEAR(Table1[[#This Row],[Date]])</f>
        <v>2024</v>
      </c>
      <c r="F48" s="2" t="s">
        <v>39</v>
      </c>
      <c r="G48" s="2" t="s">
        <v>48</v>
      </c>
      <c r="H48" s="2" t="s">
        <v>93</v>
      </c>
      <c r="I48" s="2" t="s">
        <v>98</v>
      </c>
      <c r="J48" s="2">
        <v>13</v>
      </c>
      <c r="K48" s="2">
        <v>400</v>
      </c>
      <c r="L48" s="2">
        <v>25</v>
      </c>
      <c r="M48" s="2">
        <v>3900</v>
      </c>
      <c r="N48" s="23">
        <f>(Table1[[#This Row],[Profit (PKR)]]/Table1[[#This Row],[Total Revenue (PKR)]])</f>
        <v>6.6666666666666666E-2</v>
      </c>
      <c r="O48" s="2">
        <v>280</v>
      </c>
      <c r="P48" s="2">
        <v>3640</v>
      </c>
      <c r="Q48" s="2">
        <v>260</v>
      </c>
      <c r="R48" s="2" t="s">
        <v>42</v>
      </c>
      <c r="S48" s="2" t="str">
        <f>IF(AND(Table1[[#This Row],[Total Revenue (PKR)]]&gt;50000, Table1[[#This Row],[Discount %]]&lt;10),"High Value","Standard")</f>
        <v>Standard</v>
      </c>
      <c r="T48" s="2" t="s">
        <v>30</v>
      </c>
      <c r="U48" s="6" t="s">
        <v>44</v>
      </c>
      <c r="V48" s="19" t="s">
        <v>163</v>
      </c>
    </row>
    <row r="49" spans="1:22" x14ac:dyDescent="0.25">
      <c r="A49" s="5" t="s">
        <v>164</v>
      </c>
      <c r="B49" s="16">
        <f>DATEVALUE(Table1[[#This Row],[Date2]])</f>
        <v>45507</v>
      </c>
      <c r="C49" s="3" t="str">
        <f>TEXT(Table1[[#This Row],[Date]],"MMM")</f>
        <v>Aug</v>
      </c>
      <c r="D49" s="3" t="str">
        <f>"Q"&amp;ROUNDUP(MONTH(Table1[[#This Row],[Date]])/3,0)</f>
        <v>Q3</v>
      </c>
      <c r="E49" s="3">
        <f>YEAR(Table1[[#This Row],[Date]])</f>
        <v>2024</v>
      </c>
      <c r="F49" s="3" t="s">
        <v>77</v>
      </c>
      <c r="G49" s="3" t="s">
        <v>40</v>
      </c>
      <c r="H49" s="3" t="s">
        <v>53</v>
      </c>
      <c r="I49" s="3" t="s">
        <v>101</v>
      </c>
      <c r="J49" s="3">
        <v>10</v>
      </c>
      <c r="K49" s="3">
        <v>1200</v>
      </c>
      <c r="L49" s="3">
        <v>15</v>
      </c>
      <c r="M49" s="3">
        <v>10200</v>
      </c>
      <c r="N49" s="24">
        <f>(Table1[[#This Row],[Profit (PKR)]]/Table1[[#This Row],[Total Revenue (PKR)]])</f>
        <v>0.31372549019607843</v>
      </c>
      <c r="O49" s="3">
        <v>700</v>
      </c>
      <c r="P49" s="3">
        <v>7000</v>
      </c>
      <c r="Q49" s="3">
        <v>3200</v>
      </c>
      <c r="R49" s="3" t="s">
        <v>22</v>
      </c>
      <c r="S49" s="3" t="str">
        <f>IF(AND(Table1[[#This Row],[Total Revenue (PKR)]]&gt;50000, Table1[[#This Row],[Discount %]]&lt;10),"High Value","Standard")</f>
        <v>Standard</v>
      </c>
      <c r="T49" s="3" t="s">
        <v>55</v>
      </c>
      <c r="U49" s="7" t="s">
        <v>44</v>
      </c>
      <c r="V49" s="20" t="s">
        <v>165</v>
      </c>
    </row>
    <row r="50" spans="1:22" x14ac:dyDescent="0.25">
      <c r="A50" s="4" t="s">
        <v>166</v>
      </c>
      <c r="B50" s="15">
        <f>DATEVALUE(Table1[[#This Row],[Date2]])</f>
        <v>45512</v>
      </c>
      <c r="C50" s="2" t="str">
        <f>TEXT(Table1[[#This Row],[Date]],"MMM")</f>
        <v>Aug</v>
      </c>
      <c r="D50" s="2" t="str">
        <f>"Q"&amp;ROUNDUP(MONTH(Table1[[#This Row],[Date]])/3,0)</f>
        <v>Q3</v>
      </c>
      <c r="E50" s="2">
        <f>YEAR(Table1[[#This Row],[Date]])</f>
        <v>2024</v>
      </c>
      <c r="F50" s="2" t="s">
        <v>47</v>
      </c>
      <c r="G50" s="2" t="s">
        <v>52</v>
      </c>
      <c r="H50" s="2" t="s">
        <v>93</v>
      </c>
      <c r="I50" s="2" t="s">
        <v>109</v>
      </c>
      <c r="J50" s="2">
        <v>15</v>
      </c>
      <c r="K50" s="2">
        <v>700</v>
      </c>
      <c r="L50" s="2">
        <v>25</v>
      </c>
      <c r="M50" s="2">
        <v>7875</v>
      </c>
      <c r="N50" s="23">
        <f>(Table1[[#This Row],[Profit (PKR)]]/Table1[[#This Row],[Total Revenue (PKR)]])</f>
        <v>4.7619047619047616E-2</v>
      </c>
      <c r="O50" s="2">
        <v>500</v>
      </c>
      <c r="P50" s="2">
        <v>7500</v>
      </c>
      <c r="Q50" s="2">
        <v>375</v>
      </c>
      <c r="R50" s="2" t="s">
        <v>22</v>
      </c>
      <c r="S50" s="2" t="str">
        <f>IF(AND(Table1[[#This Row],[Total Revenue (PKR)]]&gt;50000, Table1[[#This Row],[Discount %]]&lt;10),"High Value","Standard")</f>
        <v>Standard</v>
      </c>
      <c r="T50" s="2" t="s">
        <v>30</v>
      </c>
      <c r="U50" s="6" t="s">
        <v>44</v>
      </c>
      <c r="V50" s="19" t="s">
        <v>167</v>
      </c>
    </row>
    <row r="51" spans="1:22" x14ac:dyDescent="0.25">
      <c r="A51" s="5" t="s">
        <v>168</v>
      </c>
      <c r="B51" s="16">
        <f>DATEVALUE(Table1[[#This Row],[Date2]])</f>
        <v>45378</v>
      </c>
      <c r="C51" s="3" t="str">
        <f>TEXT(Table1[[#This Row],[Date]],"MMM")</f>
        <v>Mar</v>
      </c>
      <c r="D51" s="3" t="str">
        <f>"Q"&amp;ROUNDUP(MONTH(Table1[[#This Row],[Date]])/3,0)</f>
        <v>Q1</v>
      </c>
      <c r="E51" s="3">
        <f>YEAR(Table1[[#This Row],[Date]])</f>
        <v>2024</v>
      </c>
      <c r="F51" s="3" t="s">
        <v>18</v>
      </c>
      <c r="G51" s="3" t="s">
        <v>48</v>
      </c>
      <c r="H51" s="3" t="s">
        <v>53</v>
      </c>
      <c r="I51" s="3" t="s">
        <v>101</v>
      </c>
      <c r="J51" s="3">
        <v>11</v>
      </c>
      <c r="K51" s="3">
        <v>1200</v>
      </c>
      <c r="L51" s="3">
        <v>0</v>
      </c>
      <c r="M51" s="3">
        <v>13200</v>
      </c>
      <c r="N51" s="24">
        <f>(Table1[[#This Row],[Profit (PKR)]]/Table1[[#This Row],[Total Revenue (PKR)]])</f>
        <v>0.41666666666666669</v>
      </c>
      <c r="O51" s="3">
        <v>700</v>
      </c>
      <c r="P51" s="3">
        <v>7700</v>
      </c>
      <c r="Q51" s="3">
        <v>5500</v>
      </c>
      <c r="R51" s="3" t="s">
        <v>22</v>
      </c>
      <c r="S51" s="3" t="str">
        <f>IF(AND(Table1[[#This Row],[Total Revenue (PKR)]]&gt;50000, Table1[[#This Row],[Discount %]]&lt;10),"High Value","Standard")</f>
        <v>Standard</v>
      </c>
      <c r="T51" s="3" t="s">
        <v>23</v>
      </c>
      <c r="U51" s="7" t="s">
        <v>44</v>
      </c>
      <c r="V51" s="20" t="s">
        <v>169</v>
      </c>
    </row>
    <row r="52" spans="1:22" x14ac:dyDescent="0.25">
      <c r="A52" s="4" t="s">
        <v>170</v>
      </c>
      <c r="B52" s="15">
        <f>DATEVALUE(Table1[[#This Row],[Date2]])</f>
        <v>45393</v>
      </c>
      <c r="C52" s="2" t="str">
        <f>TEXT(Table1[[#This Row],[Date]],"MMM")</f>
        <v>Apr</v>
      </c>
      <c r="D52" s="2" t="str">
        <f>"Q"&amp;ROUNDUP(MONTH(Table1[[#This Row],[Date]])/3,0)</f>
        <v>Q2</v>
      </c>
      <c r="E52" s="2">
        <f>YEAR(Table1[[#This Row],[Date]])</f>
        <v>2024</v>
      </c>
      <c r="F52" s="2" t="s">
        <v>92</v>
      </c>
      <c r="G52" s="2" t="s">
        <v>19</v>
      </c>
      <c r="H52" s="2" t="s">
        <v>28</v>
      </c>
      <c r="I52" s="2" t="s">
        <v>116</v>
      </c>
      <c r="J52" s="2">
        <v>16</v>
      </c>
      <c r="K52" s="2">
        <v>85000</v>
      </c>
      <c r="L52" s="2">
        <v>20</v>
      </c>
      <c r="M52" s="2">
        <v>1088000</v>
      </c>
      <c r="N52" s="23">
        <f>(Table1[[#This Row],[Profit (PKR)]]/Table1[[#This Row],[Total Revenue (PKR)]])</f>
        <v>4.4117647058823532E-2</v>
      </c>
      <c r="O52" s="2">
        <v>65000</v>
      </c>
      <c r="P52" s="2">
        <v>1040000</v>
      </c>
      <c r="Q52" s="2">
        <v>48000</v>
      </c>
      <c r="R52" s="2" t="s">
        <v>22</v>
      </c>
      <c r="S52" s="2" t="str">
        <f>IF(AND(Table1[[#This Row],[Total Revenue (PKR)]]&gt;50000, Table1[[#This Row],[Discount %]]&lt;10),"High Value","Standard")</f>
        <v>Standard</v>
      </c>
      <c r="T52" s="2" t="s">
        <v>66</v>
      </c>
      <c r="U52" s="6" t="s">
        <v>44</v>
      </c>
      <c r="V52" s="19" t="s">
        <v>171</v>
      </c>
    </row>
    <row r="53" spans="1:22" x14ac:dyDescent="0.25">
      <c r="A53" s="5" t="s">
        <v>172</v>
      </c>
      <c r="B53" s="16">
        <f>DATEVALUE(Table1[[#This Row],[Date2]])</f>
        <v>45614</v>
      </c>
      <c r="C53" s="3" t="str">
        <f>TEXT(Table1[[#This Row],[Date]],"MMM")</f>
        <v>Nov</v>
      </c>
      <c r="D53" s="3" t="str">
        <f>"Q"&amp;ROUNDUP(MONTH(Table1[[#This Row],[Date]])/3,0)</f>
        <v>Q4</v>
      </c>
      <c r="E53" s="3">
        <f>YEAR(Table1[[#This Row],[Date]])</f>
        <v>2024</v>
      </c>
      <c r="F53" s="3" t="s">
        <v>47</v>
      </c>
      <c r="G53" s="3" t="s">
        <v>64</v>
      </c>
      <c r="H53" s="3" t="s">
        <v>93</v>
      </c>
      <c r="I53" s="3" t="s">
        <v>109</v>
      </c>
      <c r="J53" s="3">
        <v>13</v>
      </c>
      <c r="K53" s="3">
        <v>700</v>
      </c>
      <c r="L53" s="3">
        <v>5</v>
      </c>
      <c r="M53" s="3">
        <v>8645</v>
      </c>
      <c r="N53" s="24">
        <f>(Table1[[#This Row],[Profit (PKR)]]/Table1[[#This Row],[Total Revenue (PKR)]])</f>
        <v>0.24812030075187969</v>
      </c>
      <c r="O53" s="3">
        <v>500</v>
      </c>
      <c r="P53" s="3">
        <v>6500</v>
      </c>
      <c r="Q53" s="3">
        <v>2145</v>
      </c>
      <c r="R53" s="3" t="s">
        <v>22</v>
      </c>
      <c r="S53" s="3" t="str">
        <f>IF(AND(Table1[[#This Row],[Total Revenue (PKR)]]&gt;50000, Table1[[#This Row],[Discount %]]&lt;10),"High Value","Standard")</f>
        <v>Standard</v>
      </c>
      <c r="T53" s="3" t="s">
        <v>23</v>
      </c>
      <c r="U53" s="7" t="s">
        <v>24</v>
      </c>
      <c r="V53" s="20" t="s">
        <v>173</v>
      </c>
    </row>
    <row r="54" spans="1:22" x14ac:dyDescent="0.25">
      <c r="A54" s="4" t="s">
        <v>174</v>
      </c>
      <c r="B54" s="15">
        <f>DATEVALUE(Table1[[#This Row],[Date2]])</f>
        <v>45346</v>
      </c>
      <c r="C54" s="2" t="str">
        <f>TEXT(Table1[[#This Row],[Date]],"MMM")</f>
        <v>Feb</v>
      </c>
      <c r="D54" s="2" t="str">
        <f>"Q"&amp;ROUNDUP(MONTH(Table1[[#This Row],[Date]])/3,0)</f>
        <v>Q1</v>
      </c>
      <c r="E54" s="2">
        <f>YEAR(Table1[[#This Row],[Date]])</f>
        <v>2024</v>
      </c>
      <c r="F54" s="2" t="s">
        <v>77</v>
      </c>
      <c r="G54" s="2" t="s">
        <v>64</v>
      </c>
      <c r="H54" s="2" t="s">
        <v>34</v>
      </c>
      <c r="I54" s="2" t="s">
        <v>89</v>
      </c>
      <c r="J54" s="2">
        <v>15</v>
      </c>
      <c r="K54" s="2">
        <v>4500</v>
      </c>
      <c r="L54" s="2">
        <v>0</v>
      </c>
      <c r="M54" s="2">
        <v>67500</v>
      </c>
      <c r="N54" s="23">
        <f>(Table1[[#This Row],[Profit (PKR)]]/Table1[[#This Row],[Total Revenue (PKR)]])</f>
        <v>0.44444444444444442</v>
      </c>
      <c r="O54" s="2">
        <v>2500</v>
      </c>
      <c r="P54" s="2">
        <v>37500</v>
      </c>
      <c r="Q54" s="2">
        <v>30000</v>
      </c>
      <c r="R54" s="2" t="s">
        <v>22</v>
      </c>
      <c r="S54" s="2" t="str">
        <f>IF(AND(Table1[[#This Row],[Total Revenue (PKR)]]&gt;50000, Table1[[#This Row],[Discount %]]&lt;10),"High Value","Standard")</f>
        <v>High Value</v>
      </c>
      <c r="T54" s="2" t="s">
        <v>43</v>
      </c>
      <c r="U54" s="6" t="s">
        <v>44</v>
      </c>
      <c r="V54" s="19" t="s">
        <v>175</v>
      </c>
    </row>
    <row r="55" spans="1:22" x14ac:dyDescent="0.25">
      <c r="A55" s="5" t="s">
        <v>176</v>
      </c>
      <c r="B55" s="16">
        <f>DATEVALUE(Table1[[#This Row],[Date2]])</f>
        <v>45529</v>
      </c>
      <c r="C55" s="3" t="str">
        <f>TEXT(Table1[[#This Row],[Date]],"MMM")</f>
        <v>Aug</v>
      </c>
      <c r="D55" s="3" t="str">
        <f>"Q"&amp;ROUNDUP(MONTH(Table1[[#This Row],[Date]])/3,0)</f>
        <v>Q3</v>
      </c>
      <c r="E55" s="3">
        <f>YEAR(Table1[[#This Row],[Date]])</f>
        <v>2024</v>
      </c>
      <c r="F55" s="3" t="s">
        <v>63</v>
      </c>
      <c r="G55" s="3" t="s">
        <v>52</v>
      </c>
      <c r="H55" s="3" t="s">
        <v>93</v>
      </c>
      <c r="I55" s="3" t="s">
        <v>94</v>
      </c>
      <c r="J55" s="3">
        <v>17</v>
      </c>
      <c r="K55" s="3">
        <v>1200</v>
      </c>
      <c r="L55" s="3">
        <v>15</v>
      </c>
      <c r="M55" s="3">
        <v>17340</v>
      </c>
      <c r="N55" s="24">
        <f>(Table1[[#This Row],[Profit (PKR)]]/Table1[[#This Row],[Total Revenue (PKR)]])</f>
        <v>0.11764705882352941</v>
      </c>
      <c r="O55" s="3">
        <v>900</v>
      </c>
      <c r="P55" s="3">
        <v>15300</v>
      </c>
      <c r="Q55" s="3">
        <v>2040</v>
      </c>
      <c r="R55" s="3" t="s">
        <v>42</v>
      </c>
      <c r="S55" s="3" t="str">
        <f>IF(AND(Table1[[#This Row],[Total Revenue (PKR)]]&gt;50000, Table1[[#This Row],[Discount %]]&lt;10),"High Value","Standard")</f>
        <v>Standard</v>
      </c>
      <c r="T55" s="3" t="s">
        <v>36</v>
      </c>
      <c r="U55" s="7" t="s">
        <v>24</v>
      </c>
      <c r="V55" s="20" t="s">
        <v>177</v>
      </c>
    </row>
    <row r="56" spans="1:22" x14ac:dyDescent="0.25">
      <c r="A56" s="4" t="s">
        <v>178</v>
      </c>
      <c r="B56" s="15">
        <f>DATEVALUE(Table1[[#This Row],[Date2]])</f>
        <v>45535</v>
      </c>
      <c r="C56" s="2" t="str">
        <f>TEXT(Table1[[#This Row],[Date]],"MMM")</f>
        <v>Aug</v>
      </c>
      <c r="D56" s="2" t="str">
        <f>"Q"&amp;ROUNDUP(MONTH(Table1[[#This Row],[Date]])/3,0)</f>
        <v>Q3</v>
      </c>
      <c r="E56" s="2">
        <f>YEAR(Table1[[#This Row],[Date]])</f>
        <v>2024</v>
      </c>
      <c r="F56" s="2" t="s">
        <v>122</v>
      </c>
      <c r="G56" s="2" t="s">
        <v>48</v>
      </c>
      <c r="H56" s="2" t="s">
        <v>34</v>
      </c>
      <c r="I56" s="2" t="s">
        <v>41</v>
      </c>
      <c r="J56" s="2">
        <v>17</v>
      </c>
      <c r="K56" s="2">
        <v>3000</v>
      </c>
      <c r="L56" s="2">
        <v>15</v>
      </c>
      <c r="M56" s="2">
        <v>43350</v>
      </c>
      <c r="N56" s="23">
        <f>(Table1[[#This Row],[Profit (PKR)]]/Table1[[#This Row],[Total Revenue (PKR)]])</f>
        <v>0.41176470588235292</v>
      </c>
      <c r="O56" s="2">
        <v>1500</v>
      </c>
      <c r="P56" s="2">
        <v>25500</v>
      </c>
      <c r="Q56" s="2">
        <v>17850</v>
      </c>
      <c r="R56" s="2" t="s">
        <v>22</v>
      </c>
      <c r="S56" s="2" t="str">
        <f>IF(AND(Table1[[#This Row],[Total Revenue (PKR)]]&gt;50000, Table1[[#This Row],[Discount %]]&lt;10),"High Value","Standard")</f>
        <v>Standard</v>
      </c>
      <c r="T56" s="2" t="s">
        <v>55</v>
      </c>
      <c r="U56" s="6" t="s">
        <v>44</v>
      </c>
      <c r="V56" s="19" t="s">
        <v>179</v>
      </c>
    </row>
    <row r="57" spans="1:22" x14ac:dyDescent="0.25">
      <c r="A57" s="5" t="s">
        <v>180</v>
      </c>
      <c r="B57" s="16">
        <f>DATEVALUE(Table1[[#This Row],[Date2]])</f>
        <v>45438</v>
      </c>
      <c r="C57" s="3" t="str">
        <f>TEXT(Table1[[#This Row],[Date]],"MMM")</f>
        <v>May</v>
      </c>
      <c r="D57" s="3" t="str">
        <f>"Q"&amp;ROUNDUP(MONTH(Table1[[#This Row],[Date]])/3,0)</f>
        <v>Q2</v>
      </c>
      <c r="E57" s="3">
        <f>YEAR(Table1[[#This Row],[Date]])</f>
        <v>2024</v>
      </c>
      <c r="F57" s="3" t="s">
        <v>33</v>
      </c>
      <c r="G57" s="3" t="s">
        <v>48</v>
      </c>
      <c r="H57" s="3" t="s">
        <v>20</v>
      </c>
      <c r="I57" s="3" t="s">
        <v>182</v>
      </c>
      <c r="J57" s="3">
        <v>18</v>
      </c>
      <c r="K57" s="3">
        <v>5000</v>
      </c>
      <c r="L57" s="3">
        <v>0</v>
      </c>
      <c r="M57" s="3">
        <v>90000</v>
      </c>
      <c r="N57" s="24">
        <f>(Table1[[#This Row],[Profit (PKR)]]/Table1[[#This Row],[Total Revenue (PKR)]])</f>
        <v>0.4</v>
      </c>
      <c r="O57" s="3">
        <v>3000</v>
      </c>
      <c r="P57" s="3">
        <v>54000</v>
      </c>
      <c r="Q57" s="3">
        <v>36000</v>
      </c>
      <c r="R57" s="3" t="s">
        <v>22</v>
      </c>
      <c r="S57" s="3" t="str">
        <f>IF(AND(Table1[[#This Row],[Total Revenue (PKR)]]&gt;50000, Table1[[#This Row],[Discount %]]&lt;10),"High Value","Standard")</f>
        <v>High Value</v>
      </c>
      <c r="T57" s="3" t="s">
        <v>36</v>
      </c>
      <c r="U57" s="7" t="s">
        <v>44</v>
      </c>
      <c r="V57" s="20" t="s">
        <v>181</v>
      </c>
    </row>
    <row r="58" spans="1:22" x14ac:dyDescent="0.25">
      <c r="A58" s="4" t="s">
        <v>183</v>
      </c>
      <c r="B58" s="15">
        <f>DATEVALUE(Table1[[#This Row],[Date2]])</f>
        <v>45647</v>
      </c>
      <c r="C58" s="2" t="str">
        <f>TEXT(Table1[[#This Row],[Date]],"MMM")</f>
        <v>Dec</v>
      </c>
      <c r="D58" s="2" t="str">
        <f>"Q"&amp;ROUNDUP(MONTH(Table1[[#This Row],[Date]])/3,0)</f>
        <v>Q4</v>
      </c>
      <c r="E58" s="2">
        <f>YEAR(Table1[[#This Row],[Date]])</f>
        <v>2024</v>
      </c>
      <c r="F58" s="2" t="s">
        <v>92</v>
      </c>
      <c r="G58" s="2" t="s">
        <v>64</v>
      </c>
      <c r="H58" s="2" t="s">
        <v>28</v>
      </c>
      <c r="I58" s="2" t="s">
        <v>49</v>
      </c>
      <c r="J58" s="2">
        <v>14</v>
      </c>
      <c r="K58" s="2">
        <v>5000</v>
      </c>
      <c r="L58" s="2">
        <v>10</v>
      </c>
      <c r="M58" s="2">
        <v>63000</v>
      </c>
      <c r="N58" s="23">
        <f>(Table1[[#This Row],[Profit (PKR)]]/Table1[[#This Row],[Total Revenue (PKR)]])</f>
        <v>0.33333333333333331</v>
      </c>
      <c r="O58" s="2">
        <v>3000</v>
      </c>
      <c r="P58" s="2">
        <v>42000</v>
      </c>
      <c r="Q58" s="2">
        <v>21000</v>
      </c>
      <c r="R58" s="2" t="s">
        <v>42</v>
      </c>
      <c r="S58" s="2" t="str">
        <f>IF(AND(Table1[[#This Row],[Total Revenue (PKR)]]&gt;50000, Table1[[#This Row],[Discount %]]&lt;10),"High Value","Standard")</f>
        <v>Standard</v>
      </c>
      <c r="T58" s="2" t="s">
        <v>66</v>
      </c>
      <c r="U58" s="6" t="s">
        <v>44</v>
      </c>
      <c r="V58" s="19" t="s">
        <v>184</v>
      </c>
    </row>
    <row r="59" spans="1:22" x14ac:dyDescent="0.25">
      <c r="A59" s="5" t="s">
        <v>185</v>
      </c>
      <c r="B59" s="16">
        <f>DATEVALUE(Table1[[#This Row],[Date2]])</f>
        <v>45507</v>
      </c>
      <c r="C59" s="3" t="str">
        <f>TEXT(Table1[[#This Row],[Date]],"MMM")</f>
        <v>Aug</v>
      </c>
      <c r="D59" s="3" t="str">
        <f>"Q"&amp;ROUNDUP(MONTH(Table1[[#This Row],[Date]])/3,0)</f>
        <v>Q3</v>
      </c>
      <c r="E59" s="3">
        <f>YEAR(Table1[[#This Row],[Date]])</f>
        <v>2024</v>
      </c>
      <c r="F59" s="3" t="s">
        <v>77</v>
      </c>
      <c r="G59" s="3" t="s">
        <v>19</v>
      </c>
      <c r="H59" s="3" t="s">
        <v>53</v>
      </c>
      <c r="I59" s="3" t="s">
        <v>71</v>
      </c>
      <c r="J59" s="3">
        <v>16</v>
      </c>
      <c r="K59" s="3">
        <v>8000</v>
      </c>
      <c r="L59" s="3">
        <v>0</v>
      </c>
      <c r="M59" s="3">
        <v>128000</v>
      </c>
      <c r="N59" s="24">
        <f>(Table1[[#This Row],[Profit (PKR)]]/Table1[[#This Row],[Total Revenue (PKR)]])</f>
        <v>0.375</v>
      </c>
      <c r="O59" s="3">
        <v>5000</v>
      </c>
      <c r="P59" s="3">
        <v>80000</v>
      </c>
      <c r="Q59" s="3">
        <v>48000</v>
      </c>
      <c r="R59" s="3" t="s">
        <v>42</v>
      </c>
      <c r="S59" s="3" t="str">
        <f>IF(AND(Table1[[#This Row],[Total Revenue (PKR)]]&gt;50000, Table1[[#This Row],[Discount %]]&lt;10),"High Value","Standard")</f>
        <v>High Value</v>
      </c>
      <c r="T59" s="3" t="s">
        <v>55</v>
      </c>
      <c r="U59" s="7" t="s">
        <v>86</v>
      </c>
      <c r="V59" s="20" t="s">
        <v>165</v>
      </c>
    </row>
    <row r="60" spans="1:22" x14ac:dyDescent="0.25">
      <c r="A60" s="4" t="s">
        <v>186</v>
      </c>
      <c r="B60" s="15">
        <f>DATEVALUE(Table1[[#This Row],[Date2]])</f>
        <v>45506</v>
      </c>
      <c r="C60" s="2" t="str">
        <f>TEXT(Table1[[#This Row],[Date]],"MMM")</f>
        <v>Aug</v>
      </c>
      <c r="D60" s="2" t="str">
        <f>"Q"&amp;ROUNDUP(MONTH(Table1[[#This Row],[Date]])/3,0)</f>
        <v>Q3</v>
      </c>
      <c r="E60" s="2">
        <f>YEAR(Table1[[#This Row],[Date]])</f>
        <v>2024</v>
      </c>
      <c r="F60" s="2" t="s">
        <v>63</v>
      </c>
      <c r="G60" s="2" t="s">
        <v>64</v>
      </c>
      <c r="H60" s="2" t="s">
        <v>93</v>
      </c>
      <c r="I60" s="2" t="s">
        <v>188</v>
      </c>
      <c r="J60" s="2">
        <v>9</v>
      </c>
      <c r="K60" s="2">
        <v>1500</v>
      </c>
      <c r="L60" s="2">
        <v>15</v>
      </c>
      <c r="M60" s="2">
        <v>11475</v>
      </c>
      <c r="N60" s="23">
        <f>(Table1[[#This Row],[Profit (PKR)]]/Table1[[#This Row],[Total Revenue (PKR)]])</f>
        <v>0.13725490196078433</v>
      </c>
      <c r="O60" s="2">
        <v>1100</v>
      </c>
      <c r="P60" s="2">
        <v>9900</v>
      </c>
      <c r="Q60" s="2">
        <v>1575</v>
      </c>
      <c r="R60" s="2" t="s">
        <v>42</v>
      </c>
      <c r="S60" s="2" t="str">
        <f>IF(AND(Table1[[#This Row],[Total Revenue (PKR)]]&gt;50000, Table1[[#This Row],[Discount %]]&lt;10),"High Value","Standard")</f>
        <v>Standard</v>
      </c>
      <c r="T60" s="2" t="s">
        <v>43</v>
      </c>
      <c r="U60" s="6" t="s">
        <v>44</v>
      </c>
      <c r="V60" s="19" t="s">
        <v>187</v>
      </c>
    </row>
    <row r="61" spans="1:22" x14ac:dyDescent="0.25">
      <c r="A61" s="5" t="s">
        <v>189</v>
      </c>
      <c r="B61" s="16">
        <f>DATEVALUE(Table1[[#This Row],[Date2]])</f>
        <v>45634</v>
      </c>
      <c r="C61" s="3" t="str">
        <f>TEXT(Table1[[#This Row],[Date]],"MMM")</f>
        <v>Dec</v>
      </c>
      <c r="D61" s="3" t="str">
        <f>"Q"&amp;ROUNDUP(MONTH(Table1[[#This Row],[Date]])/3,0)</f>
        <v>Q4</v>
      </c>
      <c r="E61" s="3">
        <f>YEAR(Table1[[#This Row],[Date]])</f>
        <v>2024</v>
      </c>
      <c r="F61" s="3" t="s">
        <v>77</v>
      </c>
      <c r="G61" s="3" t="s">
        <v>40</v>
      </c>
      <c r="H61" s="3" t="s">
        <v>93</v>
      </c>
      <c r="I61" s="3" t="s">
        <v>188</v>
      </c>
      <c r="J61" s="3">
        <v>20</v>
      </c>
      <c r="K61" s="3">
        <v>1500</v>
      </c>
      <c r="L61" s="3">
        <v>20</v>
      </c>
      <c r="M61" s="3">
        <v>24000</v>
      </c>
      <c r="N61" s="24">
        <f>(Table1[[#This Row],[Profit (PKR)]]/Table1[[#This Row],[Total Revenue (PKR)]])</f>
        <v>8.3333333333333329E-2</v>
      </c>
      <c r="O61" s="3">
        <v>1100</v>
      </c>
      <c r="P61" s="3">
        <v>22000</v>
      </c>
      <c r="Q61" s="3">
        <v>2000</v>
      </c>
      <c r="R61" s="3" t="s">
        <v>22</v>
      </c>
      <c r="S61" s="3" t="str">
        <f>IF(AND(Table1[[#This Row],[Total Revenue (PKR)]]&gt;50000, Table1[[#This Row],[Discount %]]&lt;10),"High Value","Standard")</f>
        <v>Standard</v>
      </c>
      <c r="T61" s="3" t="s">
        <v>66</v>
      </c>
      <c r="U61" s="7" t="s">
        <v>44</v>
      </c>
      <c r="V61" s="20" t="s">
        <v>190</v>
      </c>
    </row>
    <row r="62" spans="1:22" x14ac:dyDescent="0.25">
      <c r="A62" s="4" t="s">
        <v>191</v>
      </c>
      <c r="B62" s="15">
        <f>DATEVALUE(Table1[[#This Row],[Date2]])</f>
        <v>45631</v>
      </c>
      <c r="C62" s="2" t="str">
        <f>TEXT(Table1[[#This Row],[Date]],"MMM")</f>
        <v>Dec</v>
      </c>
      <c r="D62" s="2" t="str">
        <f>"Q"&amp;ROUNDUP(MONTH(Table1[[#This Row],[Date]])/3,0)</f>
        <v>Q4</v>
      </c>
      <c r="E62" s="2">
        <f>YEAR(Table1[[#This Row],[Date]])</f>
        <v>2024</v>
      </c>
      <c r="F62" s="2" t="s">
        <v>104</v>
      </c>
      <c r="G62" s="2" t="s">
        <v>159</v>
      </c>
      <c r="H62" s="2" t="s">
        <v>93</v>
      </c>
      <c r="I62" s="2" t="s">
        <v>188</v>
      </c>
      <c r="J62" s="2">
        <v>15</v>
      </c>
      <c r="K62" s="2">
        <v>1500</v>
      </c>
      <c r="L62" s="2">
        <v>5</v>
      </c>
      <c r="M62" s="2">
        <v>21375</v>
      </c>
      <c r="N62" s="23">
        <f>(Table1[[#This Row],[Profit (PKR)]]/Table1[[#This Row],[Total Revenue (PKR)]])</f>
        <v>0.22807017543859648</v>
      </c>
      <c r="O62" s="2">
        <v>1100</v>
      </c>
      <c r="P62" s="2">
        <v>16500</v>
      </c>
      <c r="Q62" s="2">
        <v>4875</v>
      </c>
      <c r="R62" s="2" t="s">
        <v>22</v>
      </c>
      <c r="S62" s="2" t="str">
        <f>IF(AND(Table1[[#This Row],[Total Revenue (PKR)]]&gt;50000, Table1[[#This Row],[Discount %]]&lt;10),"High Value","Standard")</f>
        <v>Standard</v>
      </c>
      <c r="T62" s="2" t="s">
        <v>55</v>
      </c>
      <c r="U62" s="6" t="s">
        <v>44</v>
      </c>
      <c r="V62" s="19" t="s">
        <v>192</v>
      </c>
    </row>
    <row r="63" spans="1:22" x14ac:dyDescent="0.25">
      <c r="A63" s="5" t="s">
        <v>193</v>
      </c>
      <c r="B63" s="16">
        <f>DATEVALUE(Table1[[#This Row],[Date2]])</f>
        <v>45400</v>
      </c>
      <c r="C63" s="3" t="str">
        <f>TEXT(Table1[[#This Row],[Date]],"MMM")</f>
        <v>Apr</v>
      </c>
      <c r="D63" s="3" t="str">
        <f>"Q"&amp;ROUNDUP(MONTH(Table1[[#This Row],[Date]])/3,0)</f>
        <v>Q2</v>
      </c>
      <c r="E63" s="3">
        <f>YEAR(Table1[[#This Row],[Date]])</f>
        <v>2024</v>
      </c>
      <c r="F63" s="3" t="s">
        <v>122</v>
      </c>
      <c r="G63" s="3" t="s">
        <v>52</v>
      </c>
      <c r="H63" s="3" t="s">
        <v>20</v>
      </c>
      <c r="I63" s="3" t="s">
        <v>59</v>
      </c>
      <c r="J63" s="3">
        <v>9</v>
      </c>
      <c r="K63" s="3">
        <v>12000</v>
      </c>
      <c r="L63" s="3">
        <v>15</v>
      </c>
      <c r="M63" s="3">
        <v>91800</v>
      </c>
      <c r="N63" s="24">
        <f>(Table1[[#This Row],[Profit (PKR)]]/Table1[[#This Row],[Total Revenue (PKR)]])</f>
        <v>0.21568627450980393</v>
      </c>
      <c r="O63" s="3">
        <v>8000</v>
      </c>
      <c r="P63" s="3">
        <v>72000</v>
      </c>
      <c r="Q63" s="3">
        <v>19800</v>
      </c>
      <c r="R63" s="3" t="s">
        <v>42</v>
      </c>
      <c r="S63" s="3" t="str">
        <f>IF(AND(Table1[[#This Row],[Total Revenue (PKR)]]&gt;50000, Table1[[#This Row],[Discount %]]&lt;10),"High Value","Standard")</f>
        <v>Standard</v>
      </c>
      <c r="T63" s="3" t="s">
        <v>43</v>
      </c>
      <c r="U63" s="7" t="s">
        <v>44</v>
      </c>
      <c r="V63" s="20" t="s">
        <v>68</v>
      </c>
    </row>
    <row r="64" spans="1:22" x14ac:dyDescent="0.25">
      <c r="A64" s="4" t="s">
        <v>194</v>
      </c>
      <c r="B64" s="15">
        <f>DATEVALUE(Table1[[#This Row],[Date2]])</f>
        <v>45568</v>
      </c>
      <c r="C64" s="2" t="str">
        <f>TEXT(Table1[[#This Row],[Date]],"MMM")</f>
        <v>Oct</v>
      </c>
      <c r="D64" s="2" t="str">
        <f>"Q"&amp;ROUNDUP(MONTH(Table1[[#This Row],[Date]])/3,0)</f>
        <v>Q4</v>
      </c>
      <c r="E64" s="2">
        <f>YEAR(Table1[[#This Row],[Date]])</f>
        <v>2024</v>
      </c>
      <c r="F64" s="2" t="s">
        <v>104</v>
      </c>
      <c r="G64" s="2" t="s">
        <v>52</v>
      </c>
      <c r="H64" s="2" t="s">
        <v>34</v>
      </c>
      <c r="I64" s="2" t="s">
        <v>196</v>
      </c>
      <c r="J64" s="2">
        <v>2</v>
      </c>
      <c r="K64" s="2">
        <v>2500</v>
      </c>
      <c r="L64" s="2">
        <v>0</v>
      </c>
      <c r="M64" s="2">
        <v>5000</v>
      </c>
      <c r="N64" s="23">
        <f>(Table1[[#This Row],[Profit (PKR)]]/Table1[[#This Row],[Total Revenue (PKR)]])</f>
        <v>0.52</v>
      </c>
      <c r="O64" s="2">
        <v>1200</v>
      </c>
      <c r="P64" s="2">
        <v>2400</v>
      </c>
      <c r="Q64" s="2">
        <v>2600</v>
      </c>
      <c r="R64" s="2" t="s">
        <v>22</v>
      </c>
      <c r="S64" s="2" t="str">
        <f>IF(AND(Table1[[#This Row],[Total Revenue (PKR)]]&gt;50000, Table1[[#This Row],[Discount %]]&lt;10),"High Value","Standard")</f>
        <v>Standard</v>
      </c>
      <c r="T64" s="2" t="s">
        <v>36</v>
      </c>
      <c r="U64" s="6" t="s">
        <v>86</v>
      </c>
      <c r="V64" s="19" t="s">
        <v>195</v>
      </c>
    </row>
    <row r="65" spans="1:22" x14ac:dyDescent="0.25">
      <c r="A65" s="5" t="s">
        <v>197</v>
      </c>
      <c r="B65" s="16">
        <f>DATEVALUE(Table1[[#This Row],[Date2]])</f>
        <v>45610</v>
      </c>
      <c r="C65" s="3" t="str">
        <f>TEXT(Table1[[#This Row],[Date]],"MMM")</f>
        <v>Nov</v>
      </c>
      <c r="D65" s="3" t="str">
        <f>"Q"&amp;ROUNDUP(MONTH(Table1[[#This Row],[Date]])/3,0)</f>
        <v>Q4</v>
      </c>
      <c r="E65" s="3">
        <f>YEAR(Table1[[#This Row],[Date]])</f>
        <v>2024</v>
      </c>
      <c r="F65" s="3" t="s">
        <v>92</v>
      </c>
      <c r="G65" s="3" t="s">
        <v>64</v>
      </c>
      <c r="H65" s="3" t="s">
        <v>34</v>
      </c>
      <c r="I65" s="3" t="s">
        <v>35</v>
      </c>
      <c r="J65" s="3">
        <v>4</v>
      </c>
      <c r="K65" s="3">
        <v>6000</v>
      </c>
      <c r="L65" s="3">
        <v>20</v>
      </c>
      <c r="M65" s="3">
        <v>19200</v>
      </c>
      <c r="N65" s="24">
        <f>(Table1[[#This Row],[Profit (PKR)]]/Table1[[#This Row],[Total Revenue (PKR)]])</f>
        <v>0.27083333333333331</v>
      </c>
      <c r="O65" s="3">
        <v>3500</v>
      </c>
      <c r="P65" s="3">
        <v>14000</v>
      </c>
      <c r="Q65" s="3">
        <v>5200</v>
      </c>
      <c r="R65" s="3" t="s">
        <v>22</v>
      </c>
      <c r="S65" s="3" t="str">
        <f>IF(AND(Table1[[#This Row],[Total Revenue (PKR)]]&gt;50000, Table1[[#This Row],[Discount %]]&lt;10),"High Value","Standard")</f>
        <v>Standard</v>
      </c>
      <c r="T65" s="3" t="s">
        <v>66</v>
      </c>
      <c r="U65" s="7" t="s">
        <v>24</v>
      </c>
      <c r="V65" s="20" t="s">
        <v>198</v>
      </c>
    </row>
    <row r="66" spans="1:22" x14ac:dyDescent="0.25">
      <c r="A66" s="4" t="s">
        <v>199</v>
      </c>
      <c r="B66" s="15">
        <f>DATEVALUE(Table1[[#This Row],[Date2]])</f>
        <v>45480</v>
      </c>
      <c r="C66" s="2" t="str">
        <f>TEXT(Table1[[#This Row],[Date]],"MMM")</f>
        <v>Jul</v>
      </c>
      <c r="D66" s="2" t="str">
        <f>"Q"&amp;ROUNDUP(MONTH(Table1[[#This Row],[Date]])/3,0)</f>
        <v>Q3</v>
      </c>
      <c r="E66" s="2">
        <f>YEAR(Table1[[#This Row],[Date]])</f>
        <v>2024</v>
      </c>
      <c r="F66" s="2" t="s">
        <v>92</v>
      </c>
      <c r="G66" s="2" t="s">
        <v>159</v>
      </c>
      <c r="H66" s="2" t="s">
        <v>34</v>
      </c>
      <c r="I66" s="2" t="s">
        <v>41</v>
      </c>
      <c r="J66" s="2">
        <v>4</v>
      </c>
      <c r="K66" s="2">
        <v>3000</v>
      </c>
      <c r="L66" s="2">
        <v>20</v>
      </c>
      <c r="M66" s="2">
        <v>9600</v>
      </c>
      <c r="N66" s="23">
        <f>(Table1[[#This Row],[Profit (PKR)]]/Table1[[#This Row],[Total Revenue (PKR)]])</f>
        <v>0.375</v>
      </c>
      <c r="O66" s="2">
        <v>1500</v>
      </c>
      <c r="P66" s="2">
        <v>6000</v>
      </c>
      <c r="Q66" s="2">
        <v>3600</v>
      </c>
      <c r="R66" s="2" t="s">
        <v>22</v>
      </c>
      <c r="S66" s="2" t="str">
        <f>IF(AND(Table1[[#This Row],[Total Revenue (PKR)]]&gt;50000, Table1[[#This Row],[Discount %]]&lt;10),"High Value","Standard")</f>
        <v>Standard</v>
      </c>
      <c r="T66" s="2" t="s">
        <v>55</v>
      </c>
      <c r="U66" s="6" t="s">
        <v>44</v>
      </c>
      <c r="V66" s="19" t="s">
        <v>200</v>
      </c>
    </row>
    <row r="67" spans="1:22" x14ac:dyDescent="0.25">
      <c r="A67" s="5" t="s">
        <v>201</v>
      </c>
      <c r="B67" s="16">
        <f>DATEVALUE(Table1[[#This Row],[Date2]])</f>
        <v>45484</v>
      </c>
      <c r="C67" s="3" t="str">
        <f>TEXT(Table1[[#This Row],[Date]],"MMM")</f>
        <v>Jul</v>
      </c>
      <c r="D67" s="3" t="str">
        <f>"Q"&amp;ROUNDUP(MONTH(Table1[[#This Row],[Date]])/3,0)</f>
        <v>Q3</v>
      </c>
      <c r="E67" s="3">
        <f>YEAR(Table1[[#This Row],[Date]])</f>
        <v>2024</v>
      </c>
      <c r="F67" s="3" t="s">
        <v>77</v>
      </c>
      <c r="G67" s="3" t="s">
        <v>64</v>
      </c>
      <c r="H67" s="3" t="s">
        <v>28</v>
      </c>
      <c r="I67" s="3" t="s">
        <v>127</v>
      </c>
      <c r="J67" s="3">
        <v>8</v>
      </c>
      <c r="K67" s="3">
        <v>15000</v>
      </c>
      <c r="L67" s="3">
        <v>0</v>
      </c>
      <c r="M67" s="3">
        <v>120000</v>
      </c>
      <c r="N67" s="24">
        <f>(Table1[[#This Row],[Profit (PKR)]]/Table1[[#This Row],[Total Revenue (PKR)]])</f>
        <v>0.33333333333333331</v>
      </c>
      <c r="O67" s="3">
        <v>10000</v>
      </c>
      <c r="P67" s="3">
        <v>80000</v>
      </c>
      <c r="Q67" s="3">
        <v>40000</v>
      </c>
      <c r="R67" s="3" t="s">
        <v>42</v>
      </c>
      <c r="S67" s="3" t="str">
        <f>IF(AND(Table1[[#This Row],[Total Revenue (PKR)]]&gt;50000, Table1[[#This Row],[Discount %]]&lt;10),"High Value","Standard")</f>
        <v>High Value</v>
      </c>
      <c r="T67" s="3" t="s">
        <v>23</v>
      </c>
      <c r="U67" s="7" t="s">
        <v>24</v>
      </c>
      <c r="V67" s="20" t="s">
        <v>202</v>
      </c>
    </row>
    <row r="68" spans="1:22" x14ac:dyDescent="0.25">
      <c r="A68" s="4" t="s">
        <v>203</v>
      </c>
      <c r="B68" s="15">
        <f>DATEVALUE(Table1[[#This Row],[Date2]])</f>
        <v>45353</v>
      </c>
      <c r="C68" s="2" t="str">
        <f>TEXT(Table1[[#This Row],[Date]],"MMM")</f>
        <v>Mar</v>
      </c>
      <c r="D68" s="2" t="str">
        <f>"Q"&amp;ROUNDUP(MONTH(Table1[[#This Row],[Date]])/3,0)</f>
        <v>Q1</v>
      </c>
      <c r="E68" s="2">
        <f>YEAR(Table1[[#This Row],[Date]])</f>
        <v>2024</v>
      </c>
      <c r="F68" s="2" t="s">
        <v>47</v>
      </c>
      <c r="G68" s="2" t="s">
        <v>19</v>
      </c>
      <c r="H68" s="2" t="s">
        <v>20</v>
      </c>
      <c r="I68" s="2" t="s">
        <v>137</v>
      </c>
      <c r="J68" s="2">
        <v>14</v>
      </c>
      <c r="K68" s="2">
        <v>15000</v>
      </c>
      <c r="L68" s="2">
        <v>25</v>
      </c>
      <c r="M68" s="2">
        <v>157500</v>
      </c>
      <c r="N68" s="23">
        <f>(Table1[[#This Row],[Profit (PKR)]]/Table1[[#This Row],[Total Revenue (PKR)]])</f>
        <v>0.1111111111111111</v>
      </c>
      <c r="O68" s="2">
        <v>10000</v>
      </c>
      <c r="P68" s="2">
        <v>140000</v>
      </c>
      <c r="Q68" s="2">
        <v>17500</v>
      </c>
      <c r="R68" s="2" t="s">
        <v>42</v>
      </c>
      <c r="S68" s="2" t="str">
        <f>IF(AND(Table1[[#This Row],[Total Revenue (PKR)]]&gt;50000, Table1[[#This Row],[Discount %]]&lt;10),"High Value","Standard")</f>
        <v>Standard</v>
      </c>
      <c r="T68" s="2" t="s">
        <v>43</v>
      </c>
      <c r="U68" s="6" t="s">
        <v>44</v>
      </c>
      <c r="V68" s="19" t="s">
        <v>204</v>
      </c>
    </row>
    <row r="69" spans="1:22" x14ac:dyDescent="0.25">
      <c r="A69" s="5" t="s">
        <v>205</v>
      </c>
      <c r="B69" s="16">
        <f>DATEVALUE(Table1[[#This Row],[Date2]])</f>
        <v>45466</v>
      </c>
      <c r="C69" s="3" t="str">
        <f>TEXT(Table1[[#This Row],[Date]],"MMM")</f>
        <v>Jun</v>
      </c>
      <c r="D69" s="3" t="str">
        <f>"Q"&amp;ROUNDUP(MONTH(Table1[[#This Row],[Date]])/3,0)</f>
        <v>Q2</v>
      </c>
      <c r="E69" s="3">
        <f>YEAR(Table1[[#This Row],[Date]])</f>
        <v>2024</v>
      </c>
      <c r="F69" s="3" t="s">
        <v>104</v>
      </c>
      <c r="G69" s="3" t="s">
        <v>27</v>
      </c>
      <c r="H69" s="3" t="s">
        <v>93</v>
      </c>
      <c r="I69" s="3" t="s">
        <v>119</v>
      </c>
      <c r="J69" s="3">
        <v>14</v>
      </c>
      <c r="K69" s="3">
        <v>800</v>
      </c>
      <c r="L69" s="3">
        <v>10</v>
      </c>
      <c r="M69" s="3">
        <v>10080</v>
      </c>
      <c r="N69" s="24">
        <f>(Table1[[#This Row],[Profit (PKR)]]/Table1[[#This Row],[Total Revenue (PKR)]])</f>
        <v>0.16666666666666666</v>
      </c>
      <c r="O69" s="3">
        <v>600</v>
      </c>
      <c r="P69" s="3">
        <v>8400</v>
      </c>
      <c r="Q69" s="3">
        <v>1680</v>
      </c>
      <c r="R69" s="3" t="s">
        <v>42</v>
      </c>
      <c r="S69" s="3" t="str">
        <f>IF(AND(Table1[[#This Row],[Total Revenue (PKR)]]&gt;50000, Table1[[#This Row],[Discount %]]&lt;10),"High Value","Standard")</f>
        <v>Standard</v>
      </c>
      <c r="T69" s="3" t="s">
        <v>23</v>
      </c>
      <c r="U69" s="7" t="s">
        <v>44</v>
      </c>
      <c r="V69" s="20" t="s">
        <v>38</v>
      </c>
    </row>
    <row r="70" spans="1:22" x14ac:dyDescent="0.25">
      <c r="A70" s="4" t="s">
        <v>206</v>
      </c>
      <c r="B70" s="15">
        <f>DATEVALUE(Table1[[#This Row],[Date2]])</f>
        <v>45382</v>
      </c>
      <c r="C70" s="2" t="str">
        <f>TEXT(Table1[[#This Row],[Date]],"MMM")</f>
        <v>Mar</v>
      </c>
      <c r="D70" s="2" t="str">
        <f>"Q"&amp;ROUNDUP(MONTH(Table1[[#This Row],[Date]])/3,0)</f>
        <v>Q1</v>
      </c>
      <c r="E70" s="2">
        <f>YEAR(Table1[[#This Row],[Date]])</f>
        <v>2024</v>
      </c>
      <c r="F70" s="2" t="s">
        <v>63</v>
      </c>
      <c r="G70" s="2" t="s">
        <v>48</v>
      </c>
      <c r="H70" s="2" t="s">
        <v>53</v>
      </c>
      <c r="I70" s="2" t="s">
        <v>101</v>
      </c>
      <c r="J70" s="2">
        <v>16</v>
      </c>
      <c r="K70" s="2">
        <v>1200</v>
      </c>
      <c r="L70" s="2">
        <v>15</v>
      </c>
      <c r="M70" s="2">
        <v>16320</v>
      </c>
      <c r="N70" s="23">
        <f>(Table1[[#This Row],[Profit (PKR)]]/Table1[[#This Row],[Total Revenue (PKR)]])</f>
        <v>0.31372549019607843</v>
      </c>
      <c r="O70" s="2">
        <v>700</v>
      </c>
      <c r="P70" s="2">
        <v>11200</v>
      </c>
      <c r="Q70" s="2">
        <v>5120</v>
      </c>
      <c r="R70" s="2" t="s">
        <v>42</v>
      </c>
      <c r="S70" s="2" t="str">
        <f>IF(AND(Table1[[#This Row],[Total Revenue (PKR)]]&gt;50000, Table1[[#This Row],[Discount %]]&lt;10),"High Value","Standard")</f>
        <v>Standard</v>
      </c>
      <c r="T70" s="2" t="s">
        <v>23</v>
      </c>
      <c r="U70" s="6" t="s">
        <v>44</v>
      </c>
      <c r="V70" s="19" t="s">
        <v>207</v>
      </c>
    </row>
    <row r="71" spans="1:22" x14ac:dyDescent="0.25">
      <c r="A71" s="5" t="s">
        <v>208</v>
      </c>
      <c r="B71" s="16">
        <f>DATEVALUE(Table1[[#This Row],[Date2]])</f>
        <v>45457</v>
      </c>
      <c r="C71" s="3" t="str">
        <f>TEXT(Table1[[#This Row],[Date]],"MMM")</f>
        <v>Jun</v>
      </c>
      <c r="D71" s="3" t="str">
        <f>"Q"&amp;ROUNDUP(MONTH(Table1[[#This Row],[Date]])/3,0)</f>
        <v>Q2</v>
      </c>
      <c r="E71" s="3">
        <f>YEAR(Table1[[#This Row],[Date]])</f>
        <v>2024</v>
      </c>
      <c r="F71" s="3" t="s">
        <v>33</v>
      </c>
      <c r="G71" s="3" t="s">
        <v>159</v>
      </c>
      <c r="H71" s="3" t="s">
        <v>20</v>
      </c>
      <c r="I71" s="3" t="s">
        <v>59</v>
      </c>
      <c r="J71" s="3">
        <v>8</v>
      </c>
      <c r="K71" s="3">
        <v>12000</v>
      </c>
      <c r="L71" s="3">
        <v>15</v>
      </c>
      <c r="M71" s="3">
        <v>81600</v>
      </c>
      <c r="N71" s="24">
        <f>(Table1[[#This Row],[Profit (PKR)]]/Table1[[#This Row],[Total Revenue (PKR)]])</f>
        <v>0.21568627450980393</v>
      </c>
      <c r="O71" s="3">
        <v>8000</v>
      </c>
      <c r="P71" s="3">
        <v>64000</v>
      </c>
      <c r="Q71" s="3">
        <v>17600</v>
      </c>
      <c r="R71" s="3" t="s">
        <v>42</v>
      </c>
      <c r="S71" s="3" t="str">
        <f>IF(AND(Table1[[#This Row],[Total Revenue (PKR)]]&gt;50000, Table1[[#This Row],[Discount %]]&lt;10),"High Value","Standard")</f>
        <v>Standard</v>
      </c>
      <c r="T71" s="3" t="s">
        <v>55</v>
      </c>
      <c r="U71" s="7" t="s">
        <v>44</v>
      </c>
      <c r="V71" s="20" t="s">
        <v>209</v>
      </c>
    </row>
    <row r="72" spans="1:22" x14ac:dyDescent="0.25">
      <c r="A72" s="4" t="s">
        <v>210</v>
      </c>
      <c r="B72" s="15">
        <f>DATEVALUE(Table1[[#This Row],[Date2]])</f>
        <v>45458</v>
      </c>
      <c r="C72" s="2" t="str">
        <f>TEXT(Table1[[#This Row],[Date]],"MMM")</f>
        <v>Jun</v>
      </c>
      <c r="D72" s="2" t="str">
        <f>"Q"&amp;ROUNDUP(MONTH(Table1[[#This Row],[Date]])/3,0)</f>
        <v>Q2</v>
      </c>
      <c r="E72" s="2">
        <f>YEAR(Table1[[#This Row],[Date]])</f>
        <v>2024</v>
      </c>
      <c r="F72" s="2" t="s">
        <v>92</v>
      </c>
      <c r="G72" s="2" t="s">
        <v>74</v>
      </c>
      <c r="H72" s="2" t="s">
        <v>34</v>
      </c>
      <c r="I72" s="2" t="s">
        <v>41</v>
      </c>
      <c r="J72" s="2">
        <v>9</v>
      </c>
      <c r="K72" s="2">
        <v>3000</v>
      </c>
      <c r="L72" s="2">
        <v>10</v>
      </c>
      <c r="M72" s="2">
        <v>24300</v>
      </c>
      <c r="N72" s="23">
        <f>(Table1[[#This Row],[Profit (PKR)]]/Table1[[#This Row],[Total Revenue (PKR)]])</f>
        <v>0.44444444444444442</v>
      </c>
      <c r="O72" s="2">
        <v>1500</v>
      </c>
      <c r="P72" s="2">
        <v>13500</v>
      </c>
      <c r="Q72" s="2">
        <v>10800</v>
      </c>
      <c r="R72" s="2" t="s">
        <v>42</v>
      </c>
      <c r="S72" s="2" t="str">
        <f>IF(AND(Table1[[#This Row],[Total Revenue (PKR)]]&gt;50000, Table1[[#This Row],[Discount %]]&lt;10),"High Value","Standard")</f>
        <v>Standard</v>
      </c>
      <c r="T72" s="2" t="s">
        <v>30</v>
      </c>
      <c r="U72" s="6" t="s">
        <v>24</v>
      </c>
      <c r="V72" s="19" t="s">
        <v>211</v>
      </c>
    </row>
    <row r="73" spans="1:22" x14ac:dyDescent="0.25">
      <c r="A73" s="5" t="s">
        <v>212</v>
      </c>
      <c r="B73" s="16">
        <f>DATEVALUE(Table1[[#This Row],[Date2]])</f>
        <v>45433</v>
      </c>
      <c r="C73" s="3" t="str">
        <f>TEXT(Table1[[#This Row],[Date]],"MMM")</f>
        <v>May</v>
      </c>
      <c r="D73" s="3" t="str">
        <f>"Q"&amp;ROUNDUP(MONTH(Table1[[#This Row],[Date]])/3,0)</f>
        <v>Q2</v>
      </c>
      <c r="E73" s="3">
        <f>YEAR(Table1[[#This Row],[Date]])</f>
        <v>2024</v>
      </c>
      <c r="F73" s="3" t="s">
        <v>63</v>
      </c>
      <c r="G73" s="3" t="s">
        <v>19</v>
      </c>
      <c r="H73" s="3" t="s">
        <v>53</v>
      </c>
      <c r="I73" s="3" t="s">
        <v>54</v>
      </c>
      <c r="J73" s="3">
        <v>3</v>
      </c>
      <c r="K73" s="3">
        <v>2000</v>
      </c>
      <c r="L73" s="3">
        <v>5</v>
      </c>
      <c r="M73" s="3">
        <v>5700</v>
      </c>
      <c r="N73" s="24">
        <f>(Table1[[#This Row],[Profit (PKR)]]/Table1[[#This Row],[Total Revenue (PKR)]])</f>
        <v>0.36842105263157893</v>
      </c>
      <c r="O73" s="3">
        <v>1200</v>
      </c>
      <c r="P73" s="3">
        <v>3600</v>
      </c>
      <c r="Q73" s="3">
        <v>2100</v>
      </c>
      <c r="R73" s="3" t="s">
        <v>42</v>
      </c>
      <c r="S73" s="3" t="str">
        <f>IF(AND(Table1[[#This Row],[Total Revenue (PKR)]]&gt;50000, Table1[[#This Row],[Discount %]]&lt;10),"High Value","Standard")</f>
        <v>Standard</v>
      </c>
      <c r="T73" s="3" t="s">
        <v>66</v>
      </c>
      <c r="U73" s="7" t="s">
        <v>44</v>
      </c>
      <c r="V73" s="20" t="s">
        <v>213</v>
      </c>
    </row>
    <row r="74" spans="1:22" x14ac:dyDescent="0.25">
      <c r="A74" s="4" t="s">
        <v>214</v>
      </c>
      <c r="B74" s="15">
        <f>DATEVALUE(Table1[[#This Row],[Date2]])</f>
        <v>45415</v>
      </c>
      <c r="C74" s="2" t="str">
        <f>TEXT(Table1[[#This Row],[Date]],"MMM")</f>
        <v>May</v>
      </c>
      <c r="D74" s="2" t="str">
        <f>"Q"&amp;ROUNDUP(MONTH(Table1[[#This Row],[Date]])/3,0)</f>
        <v>Q2</v>
      </c>
      <c r="E74" s="2">
        <f>YEAR(Table1[[#This Row],[Date]])</f>
        <v>2024</v>
      </c>
      <c r="F74" s="2" t="s">
        <v>122</v>
      </c>
      <c r="G74" s="2" t="s">
        <v>74</v>
      </c>
      <c r="H74" s="2" t="s">
        <v>93</v>
      </c>
      <c r="I74" s="2" t="s">
        <v>119</v>
      </c>
      <c r="J74" s="2">
        <v>3</v>
      </c>
      <c r="K74" s="2">
        <v>800</v>
      </c>
      <c r="L74" s="2">
        <v>10</v>
      </c>
      <c r="M74" s="2">
        <v>2160</v>
      </c>
      <c r="N74" s="23">
        <f>(Table1[[#This Row],[Profit (PKR)]]/Table1[[#This Row],[Total Revenue (PKR)]])</f>
        <v>0.16666666666666666</v>
      </c>
      <c r="O74" s="2">
        <v>600</v>
      </c>
      <c r="P74" s="2">
        <v>1800</v>
      </c>
      <c r="Q74" s="2">
        <v>360</v>
      </c>
      <c r="R74" s="2" t="s">
        <v>22</v>
      </c>
      <c r="S74" s="2" t="str">
        <f>IF(AND(Table1[[#This Row],[Total Revenue (PKR)]]&gt;50000, Table1[[#This Row],[Discount %]]&lt;10),"High Value","Standard")</f>
        <v>Standard</v>
      </c>
      <c r="T74" s="2" t="s">
        <v>66</v>
      </c>
      <c r="U74" s="6" t="s">
        <v>24</v>
      </c>
      <c r="V74" s="19" t="s">
        <v>215</v>
      </c>
    </row>
    <row r="75" spans="1:22" x14ac:dyDescent="0.25">
      <c r="A75" s="5" t="s">
        <v>216</v>
      </c>
      <c r="B75" s="16">
        <f>DATEVALUE(Table1[[#This Row],[Date2]])</f>
        <v>45448</v>
      </c>
      <c r="C75" s="3" t="str">
        <f>TEXT(Table1[[#This Row],[Date]],"MMM")</f>
        <v>Jun</v>
      </c>
      <c r="D75" s="3" t="str">
        <f>"Q"&amp;ROUNDUP(MONTH(Table1[[#This Row],[Date]])/3,0)</f>
        <v>Q2</v>
      </c>
      <c r="E75" s="3">
        <f>YEAR(Table1[[#This Row],[Date]])</f>
        <v>2024</v>
      </c>
      <c r="F75" s="3" t="s">
        <v>47</v>
      </c>
      <c r="G75" s="3" t="s">
        <v>52</v>
      </c>
      <c r="H75" s="3" t="s">
        <v>93</v>
      </c>
      <c r="I75" s="3" t="s">
        <v>94</v>
      </c>
      <c r="J75" s="3">
        <v>17</v>
      </c>
      <c r="K75" s="3">
        <v>1200</v>
      </c>
      <c r="L75" s="3">
        <v>10</v>
      </c>
      <c r="M75" s="3">
        <v>18360</v>
      </c>
      <c r="N75" s="24">
        <f>(Table1[[#This Row],[Profit (PKR)]]/Table1[[#This Row],[Total Revenue (PKR)]])</f>
        <v>0.16666666666666666</v>
      </c>
      <c r="O75" s="3">
        <v>900</v>
      </c>
      <c r="P75" s="3">
        <v>15300</v>
      </c>
      <c r="Q75" s="3">
        <v>3060</v>
      </c>
      <c r="R75" s="3" t="s">
        <v>42</v>
      </c>
      <c r="S75" s="3" t="str">
        <f>IF(AND(Table1[[#This Row],[Total Revenue (PKR)]]&gt;50000, Table1[[#This Row],[Discount %]]&lt;10),"High Value","Standard")</f>
        <v>Standard</v>
      </c>
      <c r="T75" s="3" t="s">
        <v>23</v>
      </c>
      <c r="U75" s="7" t="s">
        <v>44</v>
      </c>
      <c r="V75" s="20" t="s">
        <v>217</v>
      </c>
    </row>
    <row r="76" spans="1:22" x14ac:dyDescent="0.25">
      <c r="A76" s="4" t="s">
        <v>218</v>
      </c>
      <c r="B76" s="15">
        <f>DATEVALUE(Table1[[#This Row],[Date2]])</f>
        <v>45472</v>
      </c>
      <c r="C76" s="2" t="str">
        <f>TEXT(Table1[[#This Row],[Date]],"MMM")</f>
        <v>Jun</v>
      </c>
      <c r="D76" s="2" t="str">
        <f>"Q"&amp;ROUNDUP(MONTH(Table1[[#This Row],[Date]])/3,0)</f>
        <v>Q2</v>
      </c>
      <c r="E76" s="2">
        <f>YEAR(Table1[[#This Row],[Date]])</f>
        <v>2024</v>
      </c>
      <c r="F76" s="2" t="s">
        <v>122</v>
      </c>
      <c r="G76" s="2" t="s">
        <v>48</v>
      </c>
      <c r="H76" s="2" t="s">
        <v>20</v>
      </c>
      <c r="I76" s="2" t="s">
        <v>182</v>
      </c>
      <c r="J76" s="2">
        <v>8</v>
      </c>
      <c r="K76" s="2">
        <v>5000</v>
      </c>
      <c r="L76" s="2">
        <v>0</v>
      </c>
      <c r="M76" s="2">
        <v>40000</v>
      </c>
      <c r="N76" s="23">
        <f>(Table1[[#This Row],[Profit (PKR)]]/Table1[[#This Row],[Total Revenue (PKR)]])</f>
        <v>0.4</v>
      </c>
      <c r="O76" s="2">
        <v>3000</v>
      </c>
      <c r="P76" s="2">
        <v>24000</v>
      </c>
      <c r="Q76" s="2">
        <v>16000</v>
      </c>
      <c r="R76" s="2" t="s">
        <v>22</v>
      </c>
      <c r="S76" s="2" t="str">
        <f>IF(AND(Table1[[#This Row],[Total Revenue (PKR)]]&gt;50000, Table1[[#This Row],[Discount %]]&lt;10),"High Value","Standard")</f>
        <v>Standard</v>
      </c>
      <c r="T76" s="2" t="s">
        <v>55</v>
      </c>
      <c r="U76" s="6" t="s">
        <v>44</v>
      </c>
      <c r="V76" s="19" t="s">
        <v>219</v>
      </c>
    </row>
    <row r="77" spans="1:22" x14ac:dyDescent="0.25">
      <c r="A77" s="5" t="s">
        <v>220</v>
      </c>
      <c r="B77" s="16">
        <f>DATEVALUE(Table1[[#This Row],[Date2]])</f>
        <v>45566</v>
      </c>
      <c r="C77" s="3" t="str">
        <f>TEXT(Table1[[#This Row],[Date]],"MMM")</f>
        <v>Oct</v>
      </c>
      <c r="D77" s="3" t="str">
        <f>"Q"&amp;ROUNDUP(MONTH(Table1[[#This Row],[Date]])/3,0)</f>
        <v>Q4</v>
      </c>
      <c r="E77" s="3">
        <f>YEAR(Table1[[#This Row],[Date]])</f>
        <v>2024</v>
      </c>
      <c r="F77" s="3" t="s">
        <v>92</v>
      </c>
      <c r="G77" s="3" t="s">
        <v>64</v>
      </c>
      <c r="H77" s="3" t="s">
        <v>34</v>
      </c>
      <c r="I77" s="3" t="s">
        <v>35</v>
      </c>
      <c r="J77" s="3">
        <v>9</v>
      </c>
      <c r="K77" s="3">
        <v>6000</v>
      </c>
      <c r="L77" s="3">
        <v>25</v>
      </c>
      <c r="M77" s="3">
        <v>40500</v>
      </c>
      <c r="N77" s="24">
        <f>(Table1[[#This Row],[Profit (PKR)]]/Table1[[#This Row],[Total Revenue (PKR)]])</f>
        <v>0.22222222222222221</v>
      </c>
      <c r="O77" s="3">
        <v>3500</v>
      </c>
      <c r="P77" s="3">
        <v>31500</v>
      </c>
      <c r="Q77" s="3">
        <v>9000</v>
      </c>
      <c r="R77" s="3" t="s">
        <v>42</v>
      </c>
      <c r="S77" s="3" t="str">
        <f>IF(AND(Table1[[#This Row],[Total Revenue (PKR)]]&gt;50000, Table1[[#This Row],[Discount %]]&lt;10),"High Value","Standard")</f>
        <v>Standard</v>
      </c>
      <c r="T77" s="3" t="s">
        <v>43</v>
      </c>
      <c r="U77" s="7" t="s">
        <v>86</v>
      </c>
      <c r="V77" s="20" t="s">
        <v>221</v>
      </c>
    </row>
    <row r="78" spans="1:22" x14ac:dyDescent="0.25">
      <c r="A78" s="4" t="s">
        <v>222</v>
      </c>
      <c r="B78" s="15">
        <f>DATEVALUE(Table1[[#This Row],[Date2]])</f>
        <v>45443</v>
      </c>
      <c r="C78" s="2" t="str">
        <f>TEXT(Table1[[#This Row],[Date]],"MMM")</f>
        <v>May</v>
      </c>
      <c r="D78" s="2" t="str">
        <f>"Q"&amp;ROUNDUP(MONTH(Table1[[#This Row],[Date]])/3,0)</f>
        <v>Q2</v>
      </c>
      <c r="E78" s="2">
        <f>YEAR(Table1[[#This Row],[Date]])</f>
        <v>2024</v>
      </c>
      <c r="F78" s="2" t="s">
        <v>33</v>
      </c>
      <c r="G78" s="2" t="s">
        <v>52</v>
      </c>
      <c r="H78" s="2" t="s">
        <v>34</v>
      </c>
      <c r="I78" s="2" t="s">
        <v>41</v>
      </c>
      <c r="J78" s="2">
        <v>1</v>
      </c>
      <c r="K78" s="2">
        <v>3000</v>
      </c>
      <c r="L78" s="2">
        <v>25</v>
      </c>
      <c r="M78" s="2">
        <v>2250</v>
      </c>
      <c r="N78" s="23">
        <f>(Table1[[#This Row],[Profit (PKR)]]/Table1[[#This Row],[Total Revenue (PKR)]])</f>
        <v>0.33333333333333331</v>
      </c>
      <c r="O78" s="2">
        <v>1500</v>
      </c>
      <c r="P78" s="2">
        <v>1500</v>
      </c>
      <c r="Q78" s="2">
        <v>750</v>
      </c>
      <c r="R78" s="2" t="s">
        <v>22</v>
      </c>
      <c r="S78" s="2" t="str">
        <f>IF(AND(Table1[[#This Row],[Total Revenue (PKR)]]&gt;50000, Table1[[#This Row],[Discount %]]&lt;10),"High Value","Standard")</f>
        <v>Standard</v>
      </c>
      <c r="T78" s="2" t="s">
        <v>55</v>
      </c>
      <c r="U78" s="6" t="s">
        <v>44</v>
      </c>
      <c r="V78" s="19" t="s">
        <v>223</v>
      </c>
    </row>
    <row r="79" spans="1:22" x14ac:dyDescent="0.25">
      <c r="A79" s="5" t="s">
        <v>224</v>
      </c>
      <c r="B79" s="16">
        <f>DATEVALUE(Table1[[#This Row],[Date2]])</f>
        <v>45319</v>
      </c>
      <c r="C79" s="3" t="str">
        <f>TEXT(Table1[[#This Row],[Date]],"MMM")</f>
        <v>Jan</v>
      </c>
      <c r="D79" s="3" t="str">
        <f>"Q"&amp;ROUNDUP(MONTH(Table1[[#This Row],[Date]])/3,0)</f>
        <v>Q1</v>
      </c>
      <c r="E79" s="3">
        <f>YEAR(Table1[[#This Row],[Date]])</f>
        <v>2024</v>
      </c>
      <c r="F79" s="3" t="s">
        <v>63</v>
      </c>
      <c r="G79" s="3" t="s">
        <v>48</v>
      </c>
      <c r="H79" s="3" t="s">
        <v>34</v>
      </c>
      <c r="I79" s="3" t="s">
        <v>35</v>
      </c>
      <c r="J79" s="3">
        <v>4</v>
      </c>
      <c r="K79" s="3">
        <v>6000</v>
      </c>
      <c r="L79" s="3">
        <v>0</v>
      </c>
      <c r="M79" s="3">
        <v>24000</v>
      </c>
      <c r="N79" s="24">
        <f>(Table1[[#This Row],[Profit (PKR)]]/Table1[[#This Row],[Total Revenue (PKR)]])</f>
        <v>0.41666666666666669</v>
      </c>
      <c r="O79" s="3">
        <v>3500</v>
      </c>
      <c r="P79" s="3">
        <v>14000</v>
      </c>
      <c r="Q79" s="3">
        <v>10000</v>
      </c>
      <c r="R79" s="3" t="s">
        <v>42</v>
      </c>
      <c r="S79" s="3" t="str">
        <f>IF(AND(Table1[[#This Row],[Total Revenue (PKR)]]&gt;50000, Table1[[#This Row],[Discount %]]&lt;10),"High Value","Standard")</f>
        <v>Standard</v>
      </c>
      <c r="T79" s="3" t="s">
        <v>66</v>
      </c>
      <c r="U79" s="7" t="s">
        <v>44</v>
      </c>
      <c r="V79" s="20" t="s">
        <v>225</v>
      </c>
    </row>
    <row r="80" spans="1:22" x14ac:dyDescent="0.25">
      <c r="A80" s="4" t="s">
        <v>226</v>
      </c>
      <c r="B80" s="15">
        <f>DATEVALUE(Table1[[#This Row],[Date2]])</f>
        <v>45466</v>
      </c>
      <c r="C80" s="2" t="str">
        <f>TEXT(Table1[[#This Row],[Date]],"MMM")</f>
        <v>Jun</v>
      </c>
      <c r="D80" s="2" t="str">
        <f>"Q"&amp;ROUNDUP(MONTH(Table1[[#This Row],[Date]])/3,0)</f>
        <v>Q2</v>
      </c>
      <c r="E80" s="2">
        <f>YEAR(Table1[[#This Row],[Date]])</f>
        <v>2024</v>
      </c>
      <c r="F80" s="2" t="s">
        <v>92</v>
      </c>
      <c r="G80" s="2" t="s">
        <v>19</v>
      </c>
      <c r="H80" s="2" t="s">
        <v>20</v>
      </c>
      <c r="I80" s="2" t="s">
        <v>59</v>
      </c>
      <c r="J80" s="2">
        <v>4</v>
      </c>
      <c r="K80" s="2">
        <v>12000</v>
      </c>
      <c r="L80" s="2">
        <v>0</v>
      </c>
      <c r="M80" s="2">
        <v>48000</v>
      </c>
      <c r="N80" s="23">
        <f>(Table1[[#This Row],[Profit (PKR)]]/Table1[[#This Row],[Total Revenue (PKR)]])</f>
        <v>0.33333333333333331</v>
      </c>
      <c r="O80" s="2">
        <v>8000</v>
      </c>
      <c r="P80" s="2">
        <v>32000</v>
      </c>
      <c r="Q80" s="2">
        <v>16000</v>
      </c>
      <c r="R80" s="2" t="s">
        <v>42</v>
      </c>
      <c r="S80" s="2" t="str">
        <f>IF(AND(Table1[[#This Row],[Total Revenue (PKR)]]&gt;50000, Table1[[#This Row],[Discount %]]&lt;10),"High Value","Standard")</f>
        <v>Standard</v>
      </c>
      <c r="T80" s="2" t="s">
        <v>66</v>
      </c>
      <c r="U80" s="6" t="s">
        <v>44</v>
      </c>
      <c r="V80" s="19" t="s">
        <v>38</v>
      </c>
    </row>
    <row r="81" spans="1:22" x14ac:dyDescent="0.25">
      <c r="A81" s="5" t="s">
        <v>227</v>
      </c>
      <c r="B81" s="16">
        <f>DATEVALUE(Table1[[#This Row],[Date2]])</f>
        <v>45614</v>
      </c>
      <c r="C81" s="3" t="str">
        <f>TEXT(Table1[[#This Row],[Date]],"MMM")</f>
        <v>Nov</v>
      </c>
      <c r="D81" s="3" t="str">
        <f>"Q"&amp;ROUNDUP(MONTH(Table1[[#This Row],[Date]])/3,0)</f>
        <v>Q4</v>
      </c>
      <c r="E81" s="3">
        <f>YEAR(Table1[[#This Row],[Date]])</f>
        <v>2024</v>
      </c>
      <c r="F81" s="3" t="s">
        <v>104</v>
      </c>
      <c r="G81" s="3" t="s">
        <v>40</v>
      </c>
      <c r="H81" s="3" t="s">
        <v>34</v>
      </c>
      <c r="I81" s="3" t="s">
        <v>89</v>
      </c>
      <c r="J81" s="3">
        <v>10</v>
      </c>
      <c r="K81" s="3">
        <v>4500</v>
      </c>
      <c r="L81" s="3">
        <v>0</v>
      </c>
      <c r="M81" s="3">
        <v>45000</v>
      </c>
      <c r="N81" s="24">
        <f>(Table1[[#This Row],[Profit (PKR)]]/Table1[[#This Row],[Total Revenue (PKR)]])</f>
        <v>0.44444444444444442</v>
      </c>
      <c r="O81" s="3">
        <v>2500</v>
      </c>
      <c r="P81" s="3">
        <v>25000</v>
      </c>
      <c r="Q81" s="3">
        <v>20000</v>
      </c>
      <c r="R81" s="3" t="s">
        <v>22</v>
      </c>
      <c r="S81" s="3" t="str">
        <f>IF(AND(Table1[[#This Row],[Total Revenue (PKR)]]&gt;50000, Table1[[#This Row],[Discount %]]&lt;10),"High Value","Standard")</f>
        <v>Standard</v>
      </c>
      <c r="T81" s="3" t="s">
        <v>43</v>
      </c>
      <c r="U81" s="7" t="s">
        <v>44</v>
      </c>
      <c r="V81" s="20" t="s">
        <v>173</v>
      </c>
    </row>
    <row r="82" spans="1:22" x14ac:dyDescent="0.25">
      <c r="A82" s="4" t="s">
        <v>228</v>
      </c>
      <c r="B82" s="15">
        <f>DATEVALUE(Table1[[#This Row],[Date2]])</f>
        <v>45505</v>
      </c>
      <c r="C82" s="2" t="str">
        <f>TEXT(Table1[[#This Row],[Date]],"MMM")</f>
        <v>Aug</v>
      </c>
      <c r="D82" s="2" t="str">
        <f>"Q"&amp;ROUNDUP(MONTH(Table1[[#This Row],[Date]])/3,0)</f>
        <v>Q3</v>
      </c>
      <c r="E82" s="2">
        <f>YEAR(Table1[[#This Row],[Date]])</f>
        <v>2024</v>
      </c>
      <c r="F82" s="2" t="s">
        <v>47</v>
      </c>
      <c r="G82" s="2" t="s">
        <v>64</v>
      </c>
      <c r="H82" s="2" t="s">
        <v>53</v>
      </c>
      <c r="I82" s="2" t="s">
        <v>71</v>
      </c>
      <c r="J82" s="2">
        <v>15</v>
      </c>
      <c r="K82" s="2">
        <v>8000</v>
      </c>
      <c r="L82" s="2">
        <v>15</v>
      </c>
      <c r="M82" s="2">
        <v>102000</v>
      </c>
      <c r="N82" s="23">
        <f>(Table1[[#This Row],[Profit (PKR)]]/Table1[[#This Row],[Total Revenue (PKR)]])</f>
        <v>0.26470588235294118</v>
      </c>
      <c r="O82" s="2">
        <v>5000</v>
      </c>
      <c r="P82" s="2">
        <v>75000</v>
      </c>
      <c r="Q82" s="2">
        <v>27000</v>
      </c>
      <c r="R82" s="2" t="s">
        <v>42</v>
      </c>
      <c r="S82" s="2" t="str">
        <f>IF(AND(Table1[[#This Row],[Total Revenue (PKR)]]&gt;50000, Table1[[#This Row],[Discount %]]&lt;10),"High Value","Standard")</f>
        <v>Standard</v>
      </c>
      <c r="T82" s="2" t="s">
        <v>30</v>
      </c>
      <c r="U82" s="6" t="s">
        <v>56</v>
      </c>
      <c r="V82" s="19" t="s">
        <v>229</v>
      </c>
    </row>
    <row r="83" spans="1:22" x14ac:dyDescent="0.25">
      <c r="A83" s="5" t="s">
        <v>230</v>
      </c>
      <c r="B83" s="16">
        <f>DATEVALUE(Table1[[#This Row],[Date2]])</f>
        <v>45448</v>
      </c>
      <c r="C83" s="3" t="str">
        <f>TEXT(Table1[[#This Row],[Date]],"MMM")</f>
        <v>Jun</v>
      </c>
      <c r="D83" s="3" t="str">
        <f>"Q"&amp;ROUNDUP(MONTH(Table1[[#This Row],[Date]])/3,0)</f>
        <v>Q2</v>
      </c>
      <c r="E83" s="3">
        <f>YEAR(Table1[[#This Row],[Date]])</f>
        <v>2024</v>
      </c>
      <c r="F83" s="3" t="s">
        <v>47</v>
      </c>
      <c r="G83" s="3" t="s">
        <v>19</v>
      </c>
      <c r="H83" s="3" t="s">
        <v>53</v>
      </c>
      <c r="I83" s="3" t="s">
        <v>82</v>
      </c>
      <c r="J83" s="3">
        <v>7</v>
      </c>
      <c r="K83" s="3">
        <v>4000</v>
      </c>
      <c r="L83" s="3">
        <v>25</v>
      </c>
      <c r="M83" s="3">
        <v>21000</v>
      </c>
      <c r="N83" s="24">
        <f>(Table1[[#This Row],[Profit (PKR)]]/Table1[[#This Row],[Total Revenue (PKR)]])</f>
        <v>0.16666666666666666</v>
      </c>
      <c r="O83" s="3">
        <v>2500</v>
      </c>
      <c r="P83" s="3">
        <v>17500</v>
      </c>
      <c r="Q83" s="3">
        <v>3500</v>
      </c>
      <c r="R83" s="3" t="s">
        <v>22</v>
      </c>
      <c r="S83" s="3" t="str">
        <f>IF(AND(Table1[[#This Row],[Total Revenue (PKR)]]&gt;50000, Table1[[#This Row],[Discount %]]&lt;10),"High Value","Standard")</f>
        <v>Standard</v>
      </c>
      <c r="T83" s="3" t="s">
        <v>55</v>
      </c>
      <c r="U83" s="7" t="s">
        <v>24</v>
      </c>
      <c r="V83" s="20" t="s">
        <v>217</v>
      </c>
    </row>
    <row r="84" spans="1:22" x14ac:dyDescent="0.25">
      <c r="A84" s="4" t="s">
        <v>231</v>
      </c>
      <c r="B84" s="15">
        <f>DATEVALUE(Table1[[#This Row],[Date2]])</f>
        <v>45372</v>
      </c>
      <c r="C84" s="2" t="str">
        <f>TEXT(Table1[[#This Row],[Date]],"MMM")</f>
        <v>Mar</v>
      </c>
      <c r="D84" s="2" t="str">
        <f>"Q"&amp;ROUNDUP(MONTH(Table1[[#This Row],[Date]])/3,0)</f>
        <v>Q1</v>
      </c>
      <c r="E84" s="2">
        <f>YEAR(Table1[[#This Row],[Date]])</f>
        <v>2024</v>
      </c>
      <c r="F84" s="2" t="s">
        <v>33</v>
      </c>
      <c r="G84" s="2" t="s">
        <v>40</v>
      </c>
      <c r="H84" s="2" t="s">
        <v>53</v>
      </c>
      <c r="I84" s="2" t="s">
        <v>82</v>
      </c>
      <c r="J84" s="2">
        <v>6</v>
      </c>
      <c r="K84" s="2">
        <v>4000</v>
      </c>
      <c r="L84" s="2">
        <v>0</v>
      </c>
      <c r="M84" s="2">
        <v>24000</v>
      </c>
      <c r="N84" s="23">
        <f>(Table1[[#This Row],[Profit (PKR)]]/Table1[[#This Row],[Total Revenue (PKR)]])</f>
        <v>0.375</v>
      </c>
      <c r="O84" s="2">
        <v>2500</v>
      </c>
      <c r="P84" s="2">
        <v>15000</v>
      </c>
      <c r="Q84" s="2">
        <v>9000</v>
      </c>
      <c r="R84" s="2" t="s">
        <v>42</v>
      </c>
      <c r="S84" s="2" t="str">
        <f>IF(AND(Table1[[#This Row],[Total Revenue (PKR)]]&gt;50000, Table1[[#This Row],[Discount %]]&lt;10),"High Value","Standard")</f>
        <v>Standard</v>
      </c>
      <c r="T84" s="2" t="s">
        <v>66</v>
      </c>
      <c r="U84" s="6" t="s">
        <v>24</v>
      </c>
      <c r="V84" s="19" t="s">
        <v>232</v>
      </c>
    </row>
    <row r="85" spans="1:22" x14ac:dyDescent="0.25">
      <c r="A85" s="5" t="s">
        <v>233</v>
      </c>
      <c r="B85" s="16">
        <f>DATEVALUE(Table1[[#This Row],[Date2]])</f>
        <v>45532</v>
      </c>
      <c r="C85" s="3" t="str">
        <f>TEXT(Table1[[#This Row],[Date]],"MMM")</f>
        <v>Aug</v>
      </c>
      <c r="D85" s="3" t="str">
        <f>"Q"&amp;ROUNDUP(MONTH(Table1[[#This Row],[Date]])/3,0)</f>
        <v>Q3</v>
      </c>
      <c r="E85" s="3">
        <f>YEAR(Table1[[#This Row],[Date]])</f>
        <v>2024</v>
      </c>
      <c r="F85" s="3" t="s">
        <v>39</v>
      </c>
      <c r="G85" s="3" t="s">
        <v>19</v>
      </c>
      <c r="H85" s="3" t="s">
        <v>34</v>
      </c>
      <c r="I85" s="3" t="s">
        <v>41</v>
      </c>
      <c r="J85" s="3">
        <v>10</v>
      </c>
      <c r="K85" s="3">
        <v>3000</v>
      </c>
      <c r="L85" s="3">
        <v>25</v>
      </c>
      <c r="M85" s="3">
        <v>22500</v>
      </c>
      <c r="N85" s="24">
        <f>(Table1[[#This Row],[Profit (PKR)]]/Table1[[#This Row],[Total Revenue (PKR)]])</f>
        <v>0.33333333333333331</v>
      </c>
      <c r="O85" s="3">
        <v>1500</v>
      </c>
      <c r="P85" s="3">
        <v>15000</v>
      </c>
      <c r="Q85" s="3">
        <v>7500</v>
      </c>
      <c r="R85" s="3" t="s">
        <v>42</v>
      </c>
      <c r="S85" s="3" t="str">
        <f>IF(AND(Table1[[#This Row],[Total Revenue (PKR)]]&gt;50000, Table1[[#This Row],[Discount %]]&lt;10),"High Value","Standard")</f>
        <v>Standard</v>
      </c>
      <c r="T85" s="3" t="s">
        <v>43</v>
      </c>
      <c r="U85" s="7" t="s">
        <v>24</v>
      </c>
      <c r="V85" s="20" t="s">
        <v>234</v>
      </c>
    </row>
    <row r="86" spans="1:22" x14ac:dyDescent="0.25">
      <c r="A86" s="4" t="s">
        <v>235</v>
      </c>
      <c r="B86" s="15">
        <f>DATEVALUE(Table1[[#This Row],[Date2]])</f>
        <v>45427</v>
      </c>
      <c r="C86" s="2" t="str">
        <f>TEXT(Table1[[#This Row],[Date]],"MMM")</f>
        <v>May</v>
      </c>
      <c r="D86" s="2" t="str">
        <f>"Q"&amp;ROUNDUP(MONTH(Table1[[#This Row],[Date]])/3,0)</f>
        <v>Q2</v>
      </c>
      <c r="E86" s="2">
        <f>YEAR(Table1[[#This Row],[Date]])</f>
        <v>2024</v>
      </c>
      <c r="F86" s="2" t="s">
        <v>47</v>
      </c>
      <c r="G86" s="2" t="s">
        <v>64</v>
      </c>
      <c r="H86" s="2" t="s">
        <v>93</v>
      </c>
      <c r="I86" s="2" t="s">
        <v>119</v>
      </c>
      <c r="J86" s="2">
        <v>18</v>
      </c>
      <c r="K86" s="2">
        <v>800</v>
      </c>
      <c r="L86" s="2">
        <v>5</v>
      </c>
      <c r="M86" s="2">
        <v>13680</v>
      </c>
      <c r="N86" s="23">
        <f>(Table1[[#This Row],[Profit (PKR)]]/Table1[[#This Row],[Total Revenue (PKR)]])</f>
        <v>0.21052631578947367</v>
      </c>
      <c r="O86" s="2">
        <v>600</v>
      </c>
      <c r="P86" s="2">
        <v>10800</v>
      </c>
      <c r="Q86" s="2">
        <v>2880</v>
      </c>
      <c r="R86" s="2" t="s">
        <v>22</v>
      </c>
      <c r="S86" s="2" t="str">
        <f>IF(AND(Table1[[#This Row],[Total Revenue (PKR)]]&gt;50000, Table1[[#This Row],[Discount %]]&lt;10),"High Value","Standard")</f>
        <v>Standard</v>
      </c>
      <c r="T86" s="2" t="s">
        <v>55</v>
      </c>
      <c r="U86" s="6" t="s">
        <v>86</v>
      </c>
      <c r="V86" s="19" t="s">
        <v>139</v>
      </c>
    </row>
    <row r="87" spans="1:22" x14ac:dyDescent="0.25">
      <c r="A87" s="5" t="s">
        <v>236</v>
      </c>
      <c r="B87" s="16">
        <f>DATEVALUE(Table1[[#This Row],[Date2]])</f>
        <v>45328</v>
      </c>
      <c r="C87" s="3" t="str">
        <f>TEXT(Table1[[#This Row],[Date]],"MMM")</f>
        <v>Feb</v>
      </c>
      <c r="D87" s="3" t="str">
        <f>"Q"&amp;ROUNDUP(MONTH(Table1[[#This Row],[Date]])/3,0)</f>
        <v>Q1</v>
      </c>
      <c r="E87" s="3">
        <f>YEAR(Table1[[#This Row],[Date]])</f>
        <v>2024</v>
      </c>
      <c r="F87" s="3" t="s">
        <v>104</v>
      </c>
      <c r="G87" s="3" t="s">
        <v>40</v>
      </c>
      <c r="H87" s="3" t="s">
        <v>20</v>
      </c>
      <c r="I87" s="3" t="s">
        <v>137</v>
      </c>
      <c r="J87" s="3">
        <v>19</v>
      </c>
      <c r="K87" s="3">
        <v>15000</v>
      </c>
      <c r="L87" s="3">
        <v>10</v>
      </c>
      <c r="M87" s="3">
        <v>256500</v>
      </c>
      <c r="N87" s="24">
        <f>(Table1[[#This Row],[Profit (PKR)]]/Table1[[#This Row],[Total Revenue (PKR)]])</f>
        <v>0.25925925925925924</v>
      </c>
      <c r="O87" s="3">
        <v>10000</v>
      </c>
      <c r="P87" s="3">
        <v>190000</v>
      </c>
      <c r="Q87" s="3">
        <v>66500</v>
      </c>
      <c r="R87" s="3" t="s">
        <v>42</v>
      </c>
      <c r="S87" s="3" t="str">
        <f>IF(AND(Table1[[#This Row],[Total Revenue (PKR)]]&gt;50000, Table1[[#This Row],[Discount %]]&lt;10),"High Value","Standard")</f>
        <v>Standard</v>
      </c>
      <c r="T87" s="3" t="s">
        <v>43</v>
      </c>
      <c r="U87" s="7" t="s">
        <v>44</v>
      </c>
      <c r="V87" s="20" t="s">
        <v>237</v>
      </c>
    </row>
    <row r="88" spans="1:22" x14ac:dyDescent="0.25">
      <c r="A88" s="4" t="s">
        <v>238</v>
      </c>
      <c r="B88" s="15">
        <f>DATEVALUE(Table1[[#This Row],[Date2]])</f>
        <v>45447</v>
      </c>
      <c r="C88" s="2" t="str">
        <f>TEXT(Table1[[#This Row],[Date]],"MMM")</f>
        <v>Jun</v>
      </c>
      <c r="D88" s="2" t="str">
        <f>"Q"&amp;ROUNDUP(MONTH(Table1[[#This Row],[Date]])/3,0)</f>
        <v>Q2</v>
      </c>
      <c r="E88" s="2">
        <f>YEAR(Table1[[#This Row],[Date]])</f>
        <v>2024</v>
      </c>
      <c r="F88" s="2" t="s">
        <v>77</v>
      </c>
      <c r="G88" s="2" t="s">
        <v>48</v>
      </c>
      <c r="H88" s="2" t="s">
        <v>53</v>
      </c>
      <c r="I88" s="2" t="s">
        <v>101</v>
      </c>
      <c r="J88" s="2">
        <v>16</v>
      </c>
      <c r="K88" s="2">
        <v>1200</v>
      </c>
      <c r="L88" s="2">
        <v>15</v>
      </c>
      <c r="M88" s="2">
        <v>16320</v>
      </c>
      <c r="N88" s="23">
        <f>(Table1[[#This Row],[Profit (PKR)]]/Table1[[#This Row],[Total Revenue (PKR)]])</f>
        <v>0.31372549019607843</v>
      </c>
      <c r="O88" s="2">
        <v>700</v>
      </c>
      <c r="P88" s="2">
        <v>11200</v>
      </c>
      <c r="Q88" s="2">
        <v>5120</v>
      </c>
      <c r="R88" s="2" t="s">
        <v>22</v>
      </c>
      <c r="S88" s="2" t="str">
        <f>IF(AND(Table1[[#This Row],[Total Revenue (PKR)]]&gt;50000, Table1[[#This Row],[Discount %]]&lt;10),"High Value","Standard")</f>
        <v>Standard</v>
      </c>
      <c r="T88" s="2" t="s">
        <v>30</v>
      </c>
      <c r="U88" s="6" t="s">
        <v>44</v>
      </c>
      <c r="V88" s="19" t="s">
        <v>239</v>
      </c>
    </row>
    <row r="89" spans="1:22" x14ac:dyDescent="0.25">
      <c r="A89" s="5" t="s">
        <v>240</v>
      </c>
      <c r="B89" s="16">
        <f>DATEVALUE(Table1[[#This Row],[Date2]])</f>
        <v>45513</v>
      </c>
      <c r="C89" s="3" t="str">
        <f>TEXT(Table1[[#This Row],[Date]],"MMM")</f>
        <v>Aug</v>
      </c>
      <c r="D89" s="3" t="str">
        <f>"Q"&amp;ROUNDUP(MONTH(Table1[[#This Row],[Date]])/3,0)</f>
        <v>Q3</v>
      </c>
      <c r="E89" s="3">
        <f>YEAR(Table1[[#This Row],[Date]])</f>
        <v>2024</v>
      </c>
      <c r="F89" s="3" t="s">
        <v>100</v>
      </c>
      <c r="G89" s="3" t="s">
        <v>48</v>
      </c>
      <c r="H89" s="3" t="s">
        <v>28</v>
      </c>
      <c r="I89" s="3" t="s">
        <v>29</v>
      </c>
      <c r="J89" s="3">
        <v>8</v>
      </c>
      <c r="K89" s="3">
        <v>25000</v>
      </c>
      <c r="L89" s="3">
        <v>25</v>
      </c>
      <c r="M89" s="3">
        <v>150000</v>
      </c>
      <c r="N89" s="24">
        <f>(Table1[[#This Row],[Profit (PKR)]]/Table1[[#This Row],[Total Revenue (PKR)]])</f>
        <v>0.04</v>
      </c>
      <c r="O89" s="3">
        <v>18000</v>
      </c>
      <c r="P89" s="3">
        <v>144000</v>
      </c>
      <c r="Q89" s="3">
        <v>6000</v>
      </c>
      <c r="R89" s="3" t="s">
        <v>22</v>
      </c>
      <c r="S89" s="3" t="str">
        <f>IF(AND(Table1[[#This Row],[Total Revenue (PKR)]]&gt;50000, Table1[[#This Row],[Discount %]]&lt;10),"High Value","Standard")</f>
        <v>Standard</v>
      </c>
      <c r="T89" s="3" t="s">
        <v>23</v>
      </c>
      <c r="U89" s="7" t="s">
        <v>86</v>
      </c>
      <c r="V89" s="20" t="s">
        <v>241</v>
      </c>
    </row>
    <row r="90" spans="1:22" x14ac:dyDescent="0.25">
      <c r="A90" s="4" t="s">
        <v>242</v>
      </c>
      <c r="B90" s="15">
        <f>DATEVALUE(Table1[[#This Row],[Date2]])</f>
        <v>45587</v>
      </c>
      <c r="C90" s="2" t="str">
        <f>TEXT(Table1[[#This Row],[Date]],"MMM")</f>
        <v>Oct</v>
      </c>
      <c r="D90" s="2" t="str">
        <f>"Q"&amp;ROUNDUP(MONTH(Table1[[#This Row],[Date]])/3,0)</f>
        <v>Q4</v>
      </c>
      <c r="E90" s="2">
        <f>YEAR(Table1[[#This Row],[Date]])</f>
        <v>2024</v>
      </c>
      <c r="F90" s="2" t="s">
        <v>104</v>
      </c>
      <c r="G90" s="2" t="s">
        <v>40</v>
      </c>
      <c r="H90" s="2" t="s">
        <v>93</v>
      </c>
      <c r="I90" s="2" t="s">
        <v>94</v>
      </c>
      <c r="J90" s="2">
        <v>15</v>
      </c>
      <c r="K90" s="2">
        <v>1200</v>
      </c>
      <c r="L90" s="2">
        <v>10</v>
      </c>
      <c r="M90" s="2">
        <v>16200</v>
      </c>
      <c r="N90" s="23">
        <f>(Table1[[#This Row],[Profit (PKR)]]/Table1[[#This Row],[Total Revenue (PKR)]])</f>
        <v>0.16666666666666666</v>
      </c>
      <c r="O90" s="2">
        <v>900</v>
      </c>
      <c r="P90" s="2">
        <v>13500</v>
      </c>
      <c r="Q90" s="2">
        <v>2700</v>
      </c>
      <c r="R90" s="2" t="s">
        <v>22</v>
      </c>
      <c r="S90" s="2" t="str">
        <f>IF(AND(Table1[[#This Row],[Total Revenue (PKR)]]&gt;50000, Table1[[#This Row],[Discount %]]&lt;10),"High Value","Standard")</f>
        <v>Standard</v>
      </c>
      <c r="T90" s="2" t="s">
        <v>30</v>
      </c>
      <c r="U90" s="6" t="s">
        <v>44</v>
      </c>
      <c r="V90" s="19" t="s">
        <v>243</v>
      </c>
    </row>
    <row r="91" spans="1:22" x14ac:dyDescent="0.25">
      <c r="A91" s="5" t="s">
        <v>244</v>
      </c>
      <c r="B91" s="16">
        <f>DATEVALUE(Table1[[#This Row],[Date2]])</f>
        <v>45543</v>
      </c>
      <c r="C91" s="3" t="str">
        <f>TEXT(Table1[[#This Row],[Date]],"MMM")</f>
        <v>Sep</v>
      </c>
      <c r="D91" s="3" t="str">
        <f>"Q"&amp;ROUNDUP(MONTH(Table1[[#This Row],[Date]])/3,0)</f>
        <v>Q3</v>
      </c>
      <c r="E91" s="3">
        <f>YEAR(Table1[[#This Row],[Date]])</f>
        <v>2024</v>
      </c>
      <c r="F91" s="3" t="s">
        <v>18</v>
      </c>
      <c r="G91" s="3" t="s">
        <v>74</v>
      </c>
      <c r="H91" s="3" t="s">
        <v>20</v>
      </c>
      <c r="I91" s="3" t="s">
        <v>59</v>
      </c>
      <c r="J91" s="3">
        <v>11</v>
      </c>
      <c r="K91" s="3">
        <v>12000</v>
      </c>
      <c r="L91" s="3">
        <v>10</v>
      </c>
      <c r="M91" s="3">
        <v>118800</v>
      </c>
      <c r="N91" s="24">
        <f>(Table1[[#This Row],[Profit (PKR)]]/Table1[[#This Row],[Total Revenue (PKR)]])</f>
        <v>0.25925925925925924</v>
      </c>
      <c r="O91" s="3">
        <v>8000</v>
      </c>
      <c r="P91" s="3">
        <v>88000</v>
      </c>
      <c r="Q91" s="3">
        <v>30800</v>
      </c>
      <c r="R91" s="3" t="s">
        <v>22</v>
      </c>
      <c r="S91" s="3" t="str">
        <f>IF(AND(Table1[[#This Row],[Total Revenue (PKR)]]&gt;50000, Table1[[#This Row],[Discount %]]&lt;10),"High Value","Standard")</f>
        <v>Standard</v>
      </c>
      <c r="T91" s="3" t="s">
        <v>36</v>
      </c>
      <c r="U91" s="7" t="s">
        <v>44</v>
      </c>
      <c r="V91" s="20" t="s">
        <v>245</v>
      </c>
    </row>
    <row r="92" spans="1:22" x14ac:dyDescent="0.25">
      <c r="A92" s="4" t="s">
        <v>246</v>
      </c>
      <c r="B92" s="15">
        <f>DATEVALUE(Table1[[#This Row],[Date2]])</f>
        <v>45647</v>
      </c>
      <c r="C92" s="2" t="str">
        <f>TEXT(Table1[[#This Row],[Date]],"MMM")</f>
        <v>Dec</v>
      </c>
      <c r="D92" s="2" t="str">
        <f>"Q"&amp;ROUNDUP(MONTH(Table1[[#This Row],[Date]])/3,0)</f>
        <v>Q4</v>
      </c>
      <c r="E92" s="2">
        <f>YEAR(Table1[[#This Row],[Date]])</f>
        <v>2024</v>
      </c>
      <c r="F92" s="2" t="s">
        <v>122</v>
      </c>
      <c r="G92" s="2" t="s">
        <v>48</v>
      </c>
      <c r="H92" s="2" t="s">
        <v>93</v>
      </c>
      <c r="I92" s="2" t="s">
        <v>94</v>
      </c>
      <c r="J92" s="2">
        <v>2</v>
      </c>
      <c r="K92" s="2">
        <v>1200</v>
      </c>
      <c r="L92" s="2">
        <v>15</v>
      </c>
      <c r="M92" s="2">
        <v>2040</v>
      </c>
      <c r="N92" s="23">
        <f>(Table1[[#This Row],[Profit (PKR)]]/Table1[[#This Row],[Total Revenue (PKR)]])</f>
        <v>0.11764705882352941</v>
      </c>
      <c r="O92" s="2">
        <v>900</v>
      </c>
      <c r="P92" s="2">
        <v>1800</v>
      </c>
      <c r="Q92" s="2">
        <v>240</v>
      </c>
      <c r="R92" s="2" t="s">
        <v>22</v>
      </c>
      <c r="S92" s="2" t="str">
        <f>IF(AND(Table1[[#This Row],[Total Revenue (PKR)]]&gt;50000, Table1[[#This Row],[Discount %]]&lt;10),"High Value","Standard")</f>
        <v>Standard</v>
      </c>
      <c r="T92" s="2" t="s">
        <v>55</v>
      </c>
      <c r="U92" s="6" t="s">
        <v>44</v>
      </c>
      <c r="V92" s="19" t="s">
        <v>184</v>
      </c>
    </row>
    <row r="93" spans="1:22" x14ac:dyDescent="0.25">
      <c r="A93" s="5" t="s">
        <v>247</v>
      </c>
      <c r="B93" s="16">
        <f>DATEVALUE(Table1[[#This Row],[Date2]])</f>
        <v>45351</v>
      </c>
      <c r="C93" s="3" t="str">
        <f>TEXT(Table1[[#This Row],[Date]],"MMM")</f>
        <v>Feb</v>
      </c>
      <c r="D93" s="3" t="str">
        <f>"Q"&amp;ROUNDUP(MONTH(Table1[[#This Row],[Date]])/3,0)</f>
        <v>Q1</v>
      </c>
      <c r="E93" s="3">
        <f>YEAR(Table1[[#This Row],[Date]])</f>
        <v>2024</v>
      </c>
      <c r="F93" s="3" t="s">
        <v>77</v>
      </c>
      <c r="G93" s="3" t="s">
        <v>19</v>
      </c>
      <c r="H93" s="3" t="s">
        <v>53</v>
      </c>
      <c r="I93" s="3" t="s">
        <v>71</v>
      </c>
      <c r="J93" s="3">
        <v>14</v>
      </c>
      <c r="K93" s="3">
        <v>8000</v>
      </c>
      <c r="L93" s="3">
        <v>0</v>
      </c>
      <c r="M93" s="3">
        <v>112000</v>
      </c>
      <c r="N93" s="24">
        <f>(Table1[[#This Row],[Profit (PKR)]]/Table1[[#This Row],[Total Revenue (PKR)]])</f>
        <v>0.375</v>
      </c>
      <c r="O93" s="3">
        <v>5000</v>
      </c>
      <c r="P93" s="3">
        <v>70000</v>
      </c>
      <c r="Q93" s="3">
        <v>42000</v>
      </c>
      <c r="R93" s="3" t="s">
        <v>22</v>
      </c>
      <c r="S93" s="3" t="str">
        <f>IF(AND(Table1[[#This Row],[Total Revenue (PKR)]]&gt;50000, Table1[[#This Row],[Discount %]]&lt;10),"High Value","Standard")</f>
        <v>High Value</v>
      </c>
      <c r="T93" s="3" t="s">
        <v>30</v>
      </c>
      <c r="U93" s="7" t="s">
        <v>44</v>
      </c>
      <c r="V93" s="20" t="s">
        <v>248</v>
      </c>
    </row>
    <row r="94" spans="1:22" x14ac:dyDescent="0.25">
      <c r="A94" s="4" t="s">
        <v>249</v>
      </c>
      <c r="B94" s="15">
        <f>DATEVALUE(Table1[[#This Row],[Date2]])</f>
        <v>45547</v>
      </c>
      <c r="C94" s="2" t="str">
        <f>TEXT(Table1[[#This Row],[Date]],"MMM")</f>
        <v>Sep</v>
      </c>
      <c r="D94" s="2" t="str">
        <f>"Q"&amp;ROUNDUP(MONTH(Table1[[#This Row],[Date]])/3,0)</f>
        <v>Q3</v>
      </c>
      <c r="E94" s="2">
        <f>YEAR(Table1[[#This Row],[Date]])</f>
        <v>2024</v>
      </c>
      <c r="F94" s="2" t="s">
        <v>122</v>
      </c>
      <c r="G94" s="2" t="s">
        <v>19</v>
      </c>
      <c r="H94" s="2" t="s">
        <v>34</v>
      </c>
      <c r="I94" s="2" t="s">
        <v>41</v>
      </c>
      <c r="J94" s="2">
        <v>18</v>
      </c>
      <c r="K94" s="2">
        <v>3000</v>
      </c>
      <c r="L94" s="2">
        <v>5</v>
      </c>
      <c r="M94" s="2">
        <v>51300</v>
      </c>
      <c r="N94" s="23">
        <f>(Table1[[#This Row],[Profit (PKR)]]/Table1[[#This Row],[Total Revenue (PKR)]])</f>
        <v>0.47368421052631576</v>
      </c>
      <c r="O94" s="2">
        <v>1500</v>
      </c>
      <c r="P94" s="2">
        <v>27000</v>
      </c>
      <c r="Q94" s="2">
        <v>24300</v>
      </c>
      <c r="R94" s="2" t="s">
        <v>42</v>
      </c>
      <c r="S94" s="2" t="str">
        <f>IF(AND(Table1[[#This Row],[Total Revenue (PKR)]]&gt;50000, Table1[[#This Row],[Discount %]]&lt;10),"High Value","Standard")</f>
        <v>High Value</v>
      </c>
      <c r="T94" s="2" t="s">
        <v>66</v>
      </c>
      <c r="U94" s="6" t="s">
        <v>86</v>
      </c>
      <c r="V94" s="19" t="s">
        <v>250</v>
      </c>
    </row>
    <row r="95" spans="1:22" x14ac:dyDescent="0.25">
      <c r="A95" s="5" t="s">
        <v>251</v>
      </c>
      <c r="B95" s="16">
        <f>DATEVALUE(Table1[[#This Row],[Date2]])</f>
        <v>45540</v>
      </c>
      <c r="C95" s="3" t="str">
        <f>TEXT(Table1[[#This Row],[Date]],"MMM")</f>
        <v>Sep</v>
      </c>
      <c r="D95" s="3" t="str">
        <f>"Q"&amp;ROUNDUP(MONTH(Table1[[#This Row],[Date]])/3,0)</f>
        <v>Q3</v>
      </c>
      <c r="E95" s="3">
        <f>YEAR(Table1[[#This Row],[Date]])</f>
        <v>2024</v>
      </c>
      <c r="F95" s="3" t="s">
        <v>18</v>
      </c>
      <c r="G95" s="3" t="s">
        <v>19</v>
      </c>
      <c r="H95" s="3" t="s">
        <v>53</v>
      </c>
      <c r="I95" s="3" t="s">
        <v>54</v>
      </c>
      <c r="J95" s="3">
        <v>6</v>
      </c>
      <c r="K95" s="3">
        <v>2000</v>
      </c>
      <c r="L95" s="3">
        <v>10</v>
      </c>
      <c r="M95" s="3">
        <v>10800</v>
      </c>
      <c r="N95" s="24">
        <f>(Table1[[#This Row],[Profit (PKR)]]/Table1[[#This Row],[Total Revenue (PKR)]])</f>
        <v>0.33333333333333331</v>
      </c>
      <c r="O95" s="3">
        <v>1200</v>
      </c>
      <c r="P95" s="3">
        <v>7200</v>
      </c>
      <c r="Q95" s="3">
        <v>3600</v>
      </c>
      <c r="R95" s="3" t="s">
        <v>22</v>
      </c>
      <c r="S95" s="3" t="str">
        <f>IF(AND(Table1[[#This Row],[Total Revenue (PKR)]]&gt;50000, Table1[[#This Row],[Discount %]]&lt;10),"High Value","Standard")</f>
        <v>Standard</v>
      </c>
      <c r="T95" s="3" t="s">
        <v>30</v>
      </c>
      <c r="U95" s="7" t="s">
        <v>44</v>
      </c>
      <c r="V95" s="20" t="s">
        <v>252</v>
      </c>
    </row>
    <row r="96" spans="1:22" x14ac:dyDescent="0.25">
      <c r="A96" s="4" t="s">
        <v>253</v>
      </c>
      <c r="B96" s="15">
        <f>DATEVALUE(Table1[[#This Row],[Date2]])</f>
        <v>45407</v>
      </c>
      <c r="C96" s="2" t="str">
        <f>TEXT(Table1[[#This Row],[Date]],"MMM")</f>
        <v>Apr</v>
      </c>
      <c r="D96" s="2" t="str">
        <f>"Q"&amp;ROUNDUP(MONTH(Table1[[#This Row],[Date]])/3,0)</f>
        <v>Q2</v>
      </c>
      <c r="E96" s="2">
        <f>YEAR(Table1[[#This Row],[Date]])</f>
        <v>2024</v>
      </c>
      <c r="F96" s="2" t="s">
        <v>18</v>
      </c>
      <c r="G96" s="2" t="s">
        <v>74</v>
      </c>
      <c r="H96" s="2" t="s">
        <v>28</v>
      </c>
      <c r="I96" s="2" t="s">
        <v>116</v>
      </c>
      <c r="J96" s="2">
        <v>16</v>
      </c>
      <c r="K96" s="2">
        <v>85000</v>
      </c>
      <c r="L96" s="2">
        <v>25</v>
      </c>
      <c r="M96" s="2">
        <v>1020000</v>
      </c>
      <c r="N96" s="23">
        <f>(Table1[[#This Row],[Profit (PKR)]]/Table1[[#This Row],[Total Revenue (PKR)]])</f>
        <v>-1.9607843137254902E-2</v>
      </c>
      <c r="O96" s="2">
        <v>65000</v>
      </c>
      <c r="P96" s="2">
        <v>1040000</v>
      </c>
      <c r="Q96" s="2">
        <v>-20000</v>
      </c>
      <c r="R96" s="2" t="s">
        <v>42</v>
      </c>
      <c r="S96" s="2" t="str">
        <f>IF(AND(Table1[[#This Row],[Total Revenue (PKR)]]&gt;50000, Table1[[#This Row],[Discount %]]&lt;10),"High Value","Standard")</f>
        <v>Standard</v>
      </c>
      <c r="T96" s="2" t="s">
        <v>30</v>
      </c>
      <c r="U96" s="6" t="s">
        <v>24</v>
      </c>
      <c r="V96" s="19" t="s">
        <v>254</v>
      </c>
    </row>
    <row r="97" spans="1:22" x14ac:dyDescent="0.25">
      <c r="A97" s="5" t="s">
        <v>255</v>
      </c>
      <c r="B97" s="16">
        <f>DATEVALUE(Table1[[#This Row],[Date2]])</f>
        <v>45504</v>
      </c>
      <c r="C97" s="3" t="str">
        <f>TEXT(Table1[[#This Row],[Date]],"MMM")</f>
        <v>Jul</v>
      </c>
      <c r="D97" s="3" t="str">
        <f>"Q"&amp;ROUNDUP(MONTH(Table1[[#This Row],[Date]])/3,0)</f>
        <v>Q3</v>
      </c>
      <c r="E97" s="3">
        <f>YEAR(Table1[[#This Row],[Date]])</f>
        <v>2024</v>
      </c>
      <c r="F97" s="3" t="s">
        <v>122</v>
      </c>
      <c r="G97" s="3" t="s">
        <v>74</v>
      </c>
      <c r="H97" s="3" t="s">
        <v>34</v>
      </c>
      <c r="I97" s="3" t="s">
        <v>35</v>
      </c>
      <c r="J97" s="3">
        <v>18</v>
      </c>
      <c r="K97" s="3">
        <v>6000</v>
      </c>
      <c r="L97" s="3">
        <v>5</v>
      </c>
      <c r="M97" s="3">
        <v>102600</v>
      </c>
      <c r="N97" s="24">
        <f>(Table1[[#This Row],[Profit (PKR)]]/Table1[[#This Row],[Total Revenue (PKR)]])</f>
        <v>0.38596491228070173</v>
      </c>
      <c r="O97" s="3">
        <v>3500</v>
      </c>
      <c r="P97" s="3">
        <v>63000</v>
      </c>
      <c r="Q97" s="3">
        <v>39600</v>
      </c>
      <c r="R97" s="3" t="s">
        <v>42</v>
      </c>
      <c r="S97" s="3" t="str">
        <f>IF(AND(Table1[[#This Row],[Total Revenue (PKR)]]&gt;50000, Table1[[#This Row],[Discount %]]&lt;10),"High Value","Standard")</f>
        <v>High Value</v>
      </c>
      <c r="T97" s="3" t="s">
        <v>36</v>
      </c>
      <c r="U97" s="7" t="s">
        <v>95</v>
      </c>
      <c r="V97" s="20" t="s">
        <v>256</v>
      </c>
    </row>
    <row r="98" spans="1:22" x14ac:dyDescent="0.25">
      <c r="A98" s="4" t="s">
        <v>257</v>
      </c>
      <c r="B98" s="15">
        <f>DATEVALUE(Table1[[#This Row],[Date2]])</f>
        <v>45552</v>
      </c>
      <c r="C98" s="2" t="str">
        <f>TEXT(Table1[[#This Row],[Date]],"MMM")</f>
        <v>Sep</v>
      </c>
      <c r="D98" s="2" t="str">
        <f>"Q"&amp;ROUNDUP(MONTH(Table1[[#This Row],[Date]])/3,0)</f>
        <v>Q3</v>
      </c>
      <c r="E98" s="2">
        <f>YEAR(Table1[[#This Row],[Date]])</f>
        <v>2024</v>
      </c>
      <c r="F98" s="2" t="s">
        <v>92</v>
      </c>
      <c r="G98" s="2" t="s">
        <v>159</v>
      </c>
      <c r="H98" s="2" t="s">
        <v>20</v>
      </c>
      <c r="I98" s="2" t="s">
        <v>59</v>
      </c>
      <c r="J98" s="2">
        <v>11</v>
      </c>
      <c r="K98" s="2">
        <v>12000</v>
      </c>
      <c r="L98" s="2">
        <v>20</v>
      </c>
      <c r="M98" s="2">
        <v>105600</v>
      </c>
      <c r="N98" s="23">
        <f>(Table1[[#This Row],[Profit (PKR)]]/Table1[[#This Row],[Total Revenue (PKR)]])</f>
        <v>0.16666666666666666</v>
      </c>
      <c r="O98" s="2">
        <v>8000</v>
      </c>
      <c r="P98" s="2">
        <v>88000</v>
      </c>
      <c r="Q98" s="2">
        <v>17600</v>
      </c>
      <c r="R98" s="2" t="s">
        <v>42</v>
      </c>
      <c r="S98" s="2" t="str">
        <f>IF(AND(Table1[[#This Row],[Total Revenue (PKR)]]&gt;50000, Table1[[#This Row],[Discount %]]&lt;10),"High Value","Standard")</f>
        <v>Standard</v>
      </c>
      <c r="T98" s="2" t="s">
        <v>43</v>
      </c>
      <c r="U98" s="6" t="s">
        <v>44</v>
      </c>
      <c r="V98" s="19" t="s">
        <v>258</v>
      </c>
    </row>
    <row r="99" spans="1:22" x14ac:dyDescent="0.25">
      <c r="A99" s="5" t="s">
        <v>259</v>
      </c>
      <c r="B99" s="16">
        <f>DATEVALUE(Table1[[#This Row],[Date2]])</f>
        <v>45444</v>
      </c>
      <c r="C99" s="3" t="str">
        <f>TEXT(Table1[[#This Row],[Date]],"MMM")</f>
        <v>Jun</v>
      </c>
      <c r="D99" s="3" t="str">
        <f>"Q"&amp;ROUNDUP(MONTH(Table1[[#This Row],[Date]])/3,0)</f>
        <v>Q2</v>
      </c>
      <c r="E99" s="3">
        <f>YEAR(Table1[[#This Row],[Date]])</f>
        <v>2024</v>
      </c>
      <c r="F99" s="3" t="s">
        <v>47</v>
      </c>
      <c r="G99" s="3" t="s">
        <v>74</v>
      </c>
      <c r="H99" s="3" t="s">
        <v>34</v>
      </c>
      <c r="I99" s="3" t="s">
        <v>35</v>
      </c>
      <c r="J99" s="3">
        <v>18</v>
      </c>
      <c r="K99" s="3">
        <v>6000</v>
      </c>
      <c r="L99" s="3">
        <v>15</v>
      </c>
      <c r="M99" s="3">
        <v>91800</v>
      </c>
      <c r="N99" s="24">
        <f>(Table1[[#This Row],[Profit (PKR)]]/Table1[[#This Row],[Total Revenue (PKR)]])</f>
        <v>0.31372549019607843</v>
      </c>
      <c r="O99" s="3">
        <v>3500</v>
      </c>
      <c r="P99" s="3">
        <v>63000</v>
      </c>
      <c r="Q99" s="3">
        <v>28800</v>
      </c>
      <c r="R99" s="3" t="s">
        <v>42</v>
      </c>
      <c r="S99" s="3" t="str">
        <f>IF(AND(Table1[[#This Row],[Total Revenue (PKR)]]&gt;50000, Table1[[#This Row],[Discount %]]&lt;10),"High Value","Standard")</f>
        <v>Standard</v>
      </c>
      <c r="T99" s="3" t="s">
        <v>55</v>
      </c>
      <c r="U99" s="7" t="s">
        <v>44</v>
      </c>
      <c r="V99" s="20" t="s">
        <v>260</v>
      </c>
    </row>
    <row r="100" spans="1:22" x14ac:dyDescent="0.25">
      <c r="A100" s="4" t="s">
        <v>261</v>
      </c>
      <c r="B100" s="15">
        <f>DATEVALUE(Table1[[#This Row],[Date2]])</f>
        <v>45570</v>
      </c>
      <c r="C100" s="2" t="str">
        <f>TEXT(Table1[[#This Row],[Date]],"MMM")</f>
        <v>Oct</v>
      </c>
      <c r="D100" s="2" t="str">
        <f>"Q"&amp;ROUNDUP(MONTH(Table1[[#This Row],[Date]])/3,0)</f>
        <v>Q4</v>
      </c>
      <c r="E100" s="2">
        <f>YEAR(Table1[[#This Row],[Date]])</f>
        <v>2024</v>
      </c>
      <c r="F100" s="2" t="s">
        <v>77</v>
      </c>
      <c r="G100" s="2" t="s">
        <v>74</v>
      </c>
      <c r="H100" s="2" t="s">
        <v>20</v>
      </c>
      <c r="I100" s="2" t="s">
        <v>21</v>
      </c>
      <c r="J100" s="2">
        <v>8</v>
      </c>
      <c r="K100" s="2">
        <v>3500</v>
      </c>
      <c r="L100" s="2">
        <v>20</v>
      </c>
      <c r="M100" s="2">
        <v>22400</v>
      </c>
      <c r="N100" s="23">
        <f>(Table1[[#This Row],[Profit (PKR)]]/Table1[[#This Row],[Total Revenue (PKR)]])</f>
        <v>0.2857142857142857</v>
      </c>
      <c r="O100" s="2">
        <v>2000</v>
      </c>
      <c r="P100" s="2">
        <v>16000</v>
      </c>
      <c r="Q100" s="2">
        <v>6400</v>
      </c>
      <c r="R100" s="2" t="s">
        <v>42</v>
      </c>
      <c r="S100" s="2" t="str">
        <f>IF(AND(Table1[[#This Row],[Total Revenue (PKR)]]&gt;50000, Table1[[#This Row],[Discount %]]&lt;10),"High Value","Standard")</f>
        <v>Standard</v>
      </c>
      <c r="T100" s="2" t="s">
        <v>36</v>
      </c>
      <c r="U100" s="6" t="s">
        <v>86</v>
      </c>
      <c r="V100" s="19" t="s">
        <v>134</v>
      </c>
    </row>
    <row r="101" spans="1:22" x14ac:dyDescent="0.25">
      <c r="A101" s="5" t="s">
        <v>262</v>
      </c>
      <c r="B101" s="16">
        <f>DATEVALUE(Table1[[#This Row],[Date2]])</f>
        <v>45502</v>
      </c>
      <c r="C101" s="3" t="str">
        <f>TEXT(Table1[[#This Row],[Date]],"MMM")</f>
        <v>Jul</v>
      </c>
      <c r="D101" s="3" t="str">
        <f>"Q"&amp;ROUNDUP(MONTH(Table1[[#This Row],[Date]])/3,0)</f>
        <v>Q3</v>
      </c>
      <c r="E101" s="3">
        <f>YEAR(Table1[[#This Row],[Date]])</f>
        <v>2024</v>
      </c>
      <c r="F101" s="3" t="s">
        <v>104</v>
      </c>
      <c r="G101" s="3" t="s">
        <v>52</v>
      </c>
      <c r="H101" s="3" t="s">
        <v>93</v>
      </c>
      <c r="I101" s="3" t="s">
        <v>109</v>
      </c>
      <c r="J101" s="3">
        <v>13</v>
      </c>
      <c r="K101" s="3">
        <v>700</v>
      </c>
      <c r="L101" s="3">
        <v>25</v>
      </c>
      <c r="M101" s="3">
        <v>6825</v>
      </c>
      <c r="N101" s="24">
        <f>(Table1[[#This Row],[Profit (PKR)]]/Table1[[#This Row],[Total Revenue (PKR)]])</f>
        <v>4.7619047619047616E-2</v>
      </c>
      <c r="O101" s="3">
        <v>500</v>
      </c>
      <c r="P101" s="3">
        <v>6500</v>
      </c>
      <c r="Q101" s="3">
        <v>325</v>
      </c>
      <c r="R101" s="3" t="s">
        <v>22</v>
      </c>
      <c r="S101" s="3" t="str">
        <f>IF(AND(Table1[[#This Row],[Total Revenue (PKR)]]&gt;50000, Table1[[#This Row],[Discount %]]&lt;10),"High Value","Standard")</f>
        <v>Standard</v>
      </c>
      <c r="T101" s="3" t="s">
        <v>66</v>
      </c>
      <c r="U101" s="7" t="s">
        <v>95</v>
      </c>
      <c r="V101" s="20" t="s">
        <v>263</v>
      </c>
    </row>
    <row r="102" spans="1:22" x14ac:dyDescent="0.25">
      <c r="A102" s="4" t="s">
        <v>264</v>
      </c>
      <c r="B102" s="15">
        <f>DATEVALUE(Table1[[#This Row],[Date2]])</f>
        <v>45356</v>
      </c>
      <c r="C102" s="2" t="str">
        <f>TEXT(Table1[[#This Row],[Date]],"MMM")</f>
        <v>Mar</v>
      </c>
      <c r="D102" s="2" t="str">
        <f>"Q"&amp;ROUNDUP(MONTH(Table1[[#This Row],[Date]])/3,0)</f>
        <v>Q1</v>
      </c>
      <c r="E102" s="2">
        <f>YEAR(Table1[[#This Row],[Date]])</f>
        <v>2024</v>
      </c>
      <c r="F102" s="2" t="s">
        <v>63</v>
      </c>
      <c r="G102" s="2" t="s">
        <v>52</v>
      </c>
      <c r="H102" s="2" t="s">
        <v>28</v>
      </c>
      <c r="I102" s="2" t="s">
        <v>49</v>
      </c>
      <c r="J102" s="2">
        <v>4</v>
      </c>
      <c r="K102" s="2">
        <v>5000</v>
      </c>
      <c r="L102" s="2">
        <v>20</v>
      </c>
      <c r="M102" s="2">
        <v>16000</v>
      </c>
      <c r="N102" s="23">
        <f>(Table1[[#This Row],[Profit (PKR)]]/Table1[[#This Row],[Total Revenue (PKR)]])</f>
        <v>0.25</v>
      </c>
      <c r="O102" s="2">
        <v>3000</v>
      </c>
      <c r="P102" s="2">
        <v>12000</v>
      </c>
      <c r="Q102" s="2">
        <v>4000</v>
      </c>
      <c r="R102" s="2" t="s">
        <v>42</v>
      </c>
      <c r="S102" s="2" t="str">
        <f>IF(AND(Table1[[#This Row],[Total Revenue (PKR)]]&gt;50000, Table1[[#This Row],[Discount %]]&lt;10),"High Value","Standard")</f>
        <v>Standard</v>
      </c>
      <c r="T102" s="2" t="s">
        <v>43</v>
      </c>
      <c r="U102" s="6" t="s">
        <v>24</v>
      </c>
      <c r="V102" s="19" t="s">
        <v>265</v>
      </c>
    </row>
    <row r="103" spans="1:22" x14ac:dyDescent="0.25">
      <c r="A103" s="5" t="s">
        <v>266</v>
      </c>
      <c r="B103" s="16">
        <f>DATEVALUE(Table1[[#This Row],[Date2]])</f>
        <v>45501</v>
      </c>
      <c r="C103" s="3" t="str">
        <f>TEXT(Table1[[#This Row],[Date]],"MMM")</f>
        <v>Jul</v>
      </c>
      <c r="D103" s="3" t="str">
        <f>"Q"&amp;ROUNDUP(MONTH(Table1[[#This Row],[Date]])/3,0)</f>
        <v>Q3</v>
      </c>
      <c r="E103" s="3">
        <f>YEAR(Table1[[#This Row],[Date]])</f>
        <v>2024</v>
      </c>
      <c r="F103" s="3" t="s">
        <v>92</v>
      </c>
      <c r="G103" s="3" t="s">
        <v>159</v>
      </c>
      <c r="H103" s="3" t="s">
        <v>93</v>
      </c>
      <c r="I103" s="3" t="s">
        <v>98</v>
      </c>
      <c r="J103" s="3">
        <v>11</v>
      </c>
      <c r="K103" s="3">
        <v>400</v>
      </c>
      <c r="L103" s="3">
        <v>20</v>
      </c>
      <c r="M103" s="3">
        <v>3520</v>
      </c>
      <c r="N103" s="24">
        <f>(Table1[[#This Row],[Profit (PKR)]]/Table1[[#This Row],[Total Revenue (PKR)]])</f>
        <v>0.125</v>
      </c>
      <c r="O103" s="3">
        <v>280</v>
      </c>
      <c r="P103" s="3">
        <v>3080</v>
      </c>
      <c r="Q103" s="3">
        <v>440</v>
      </c>
      <c r="R103" s="3" t="s">
        <v>42</v>
      </c>
      <c r="S103" s="3" t="str">
        <f>IF(AND(Table1[[#This Row],[Total Revenue (PKR)]]&gt;50000, Table1[[#This Row],[Discount %]]&lt;10),"High Value","Standard")</f>
        <v>Standard</v>
      </c>
      <c r="T103" s="3" t="s">
        <v>23</v>
      </c>
      <c r="U103" s="7" t="s">
        <v>44</v>
      </c>
      <c r="V103" s="20" t="s">
        <v>267</v>
      </c>
    </row>
    <row r="104" spans="1:22" x14ac:dyDescent="0.25">
      <c r="A104" s="4" t="s">
        <v>268</v>
      </c>
      <c r="B104" s="15">
        <f>DATEVALUE(Table1[[#This Row],[Date2]])</f>
        <v>45460</v>
      </c>
      <c r="C104" s="2" t="str">
        <f>TEXT(Table1[[#This Row],[Date]],"MMM")</f>
        <v>Jun</v>
      </c>
      <c r="D104" s="2" t="str">
        <f>"Q"&amp;ROUNDUP(MONTH(Table1[[#This Row],[Date]])/3,0)</f>
        <v>Q2</v>
      </c>
      <c r="E104" s="2">
        <f>YEAR(Table1[[#This Row],[Date]])</f>
        <v>2024</v>
      </c>
      <c r="F104" s="2" t="s">
        <v>63</v>
      </c>
      <c r="G104" s="2" t="s">
        <v>27</v>
      </c>
      <c r="H104" s="2" t="s">
        <v>20</v>
      </c>
      <c r="I104" s="2" t="s">
        <v>59</v>
      </c>
      <c r="J104" s="2">
        <v>18</v>
      </c>
      <c r="K104" s="2">
        <v>12000</v>
      </c>
      <c r="L104" s="2">
        <v>0</v>
      </c>
      <c r="M104" s="2">
        <v>216000</v>
      </c>
      <c r="N104" s="23">
        <f>(Table1[[#This Row],[Profit (PKR)]]/Table1[[#This Row],[Total Revenue (PKR)]])</f>
        <v>0.33333333333333331</v>
      </c>
      <c r="O104" s="2">
        <v>8000</v>
      </c>
      <c r="P104" s="2">
        <v>144000</v>
      </c>
      <c r="Q104" s="2">
        <v>72000</v>
      </c>
      <c r="R104" s="2" t="s">
        <v>22</v>
      </c>
      <c r="S104" s="2" t="str">
        <f>IF(AND(Table1[[#This Row],[Total Revenue (PKR)]]&gt;50000, Table1[[#This Row],[Discount %]]&lt;10),"High Value","Standard")</f>
        <v>High Value</v>
      </c>
      <c r="T104" s="2" t="s">
        <v>36</v>
      </c>
      <c r="U104" s="6" t="s">
        <v>24</v>
      </c>
      <c r="V104" s="19" t="s">
        <v>269</v>
      </c>
    </row>
    <row r="105" spans="1:22" x14ac:dyDescent="0.25">
      <c r="A105" s="5" t="s">
        <v>270</v>
      </c>
      <c r="B105" s="16">
        <f>DATEVALUE(Table1[[#This Row],[Date2]])</f>
        <v>45439</v>
      </c>
      <c r="C105" s="3" t="str">
        <f>TEXT(Table1[[#This Row],[Date]],"MMM")</f>
        <v>May</v>
      </c>
      <c r="D105" s="3" t="str">
        <f>"Q"&amp;ROUNDUP(MONTH(Table1[[#This Row],[Date]])/3,0)</f>
        <v>Q2</v>
      </c>
      <c r="E105" s="3">
        <f>YEAR(Table1[[#This Row],[Date]])</f>
        <v>2024</v>
      </c>
      <c r="F105" s="3" t="s">
        <v>33</v>
      </c>
      <c r="G105" s="3" t="s">
        <v>159</v>
      </c>
      <c r="H105" s="3" t="s">
        <v>93</v>
      </c>
      <c r="I105" s="3" t="s">
        <v>119</v>
      </c>
      <c r="J105" s="3">
        <v>4</v>
      </c>
      <c r="K105" s="3">
        <v>800</v>
      </c>
      <c r="L105" s="3">
        <v>15</v>
      </c>
      <c r="M105" s="3">
        <v>2720</v>
      </c>
      <c r="N105" s="24">
        <f>(Table1[[#This Row],[Profit (PKR)]]/Table1[[#This Row],[Total Revenue (PKR)]])</f>
        <v>0.11764705882352941</v>
      </c>
      <c r="O105" s="3">
        <v>600</v>
      </c>
      <c r="P105" s="3">
        <v>2400</v>
      </c>
      <c r="Q105" s="3">
        <v>320</v>
      </c>
      <c r="R105" s="3" t="s">
        <v>22</v>
      </c>
      <c r="S105" s="3" t="str">
        <f>IF(AND(Table1[[#This Row],[Total Revenue (PKR)]]&gt;50000, Table1[[#This Row],[Discount %]]&lt;10),"High Value","Standard")</f>
        <v>Standard</v>
      </c>
      <c r="T105" s="3" t="s">
        <v>23</v>
      </c>
      <c r="U105" s="7" t="s">
        <v>44</v>
      </c>
      <c r="V105" s="20" t="s">
        <v>271</v>
      </c>
    </row>
    <row r="106" spans="1:22" x14ac:dyDescent="0.25">
      <c r="A106" s="4" t="s">
        <v>272</v>
      </c>
      <c r="B106" s="15">
        <f>DATEVALUE(Table1[[#This Row],[Date2]])</f>
        <v>45306</v>
      </c>
      <c r="C106" s="2" t="str">
        <f>TEXT(Table1[[#This Row],[Date]],"MMM")</f>
        <v>Jan</v>
      </c>
      <c r="D106" s="2" t="str">
        <f>"Q"&amp;ROUNDUP(MONTH(Table1[[#This Row],[Date]])/3,0)</f>
        <v>Q1</v>
      </c>
      <c r="E106" s="2">
        <f>YEAR(Table1[[#This Row],[Date]])</f>
        <v>2024</v>
      </c>
      <c r="F106" s="2" t="s">
        <v>104</v>
      </c>
      <c r="G106" s="2" t="s">
        <v>52</v>
      </c>
      <c r="H106" s="2" t="s">
        <v>28</v>
      </c>
      <c r="I106" s="2" t="s">
        <v>274</v>
      </c>
      <c r="J106" s="2">
        <v>12</v>
      </c>
      <c r="K106" s="2">
        <v>35000</v>
      </c>
      <c r="L106" s="2">
        <v>10</v>
      </c>
      <c r="M106" s="2">
        <v>378000</v>
      </c>
      <c r="N106" s="23">
        <f>(Table1[[#This Row],[Profit (PKR)]]/Table1[[#This Row],[Total Revenue (PKR)]])</f>
        <v>0.17460317460317459</v>
      </c>
      <c r="O106" s="2">
        <v>26000</v>
      </c>
      <c r="P106" s="2">
        <v>312000</v>
      </c>
      <c r="Q106" s="2">
        <v>66000</v>
      </c>
      <c r="R106" s="2" t="s">
        <v>42</v>
      </c>
      <c r="S106" s="2" t="str">
        <f>IF(AND(Table1[[#This Row],[Total Revenue (PKR)]]&gt;50000, Table1[[#This Row],[Discount %]]&lt;10),"High Value","Standard")</f>
        <v>Standard</v>
      </c>
      <c r="T106" s="2" t="s">
        <v>36</v>
      </c>
      <c r="U106" s="6" t="s">
        <v>44</v>
      </c>
      <c r="V106" s="19" t="s">
        <v>273</v>
      </c>
    </row>
    <row r="107" spans="1:22" x14ac:dyDescent="0.25">
      <c r="A107" s="5" t="s">
        <v>275</v>
      </c>
      <c r="B107" s="16">
        <f>DATEVALUE(Table1[[#This Row],[Date2]])</f>
        <v>45502</v>
      </c>
      <c r="C107" s="3" t="str">
        <f>TEXT(Table1[[#This Row],[Date]],"MMM")</f>
        <v>Jul</v>
      </c>
      <c r="D107" s="3" t="str">
        <f>"Q"&amp;ROUNDUP(MONTH(Table1[[#This Row],[Date]])/3,0)</f>
        <v>Q3</v>
      </c>
      <c r="E107" s="3">
        <f>YEAR(Table1[[#This Row],[Date]])</f>
        <v>2024</v>
      </c>
      <c r="F107" s="3" t="s">
        <v>47</v>
      </c>
      <c r="G107" s="3" t="s">
        <v>40</v>
      </c>
      <c r="H107" s="3" t="s">
        <v>34</v>
      </c>
      <c r="I107" s="3" t="s">
        <v>146</v>
      </c>
      <c r="J107" s="3">
        <v>3</v>
      </c>
      <c r="K107" s="3">
        <v>3500</v>
      </c>
      <c r="L107" s="3">
        <v>20</v>
      </c>
      <c r="M107" s="3">
        <v>8400</v>
      </c>
      <c r="N107" s="24">
        <f>(Table1[[#This Row],[Profit (PKR)]]/Table1[[#This Row],[Total Revenue (PKR)]])</f>
        <v>0.35714285714285715</v>
      </c>
      <c r="O107" s="3">
        <v>1800</v>
      </c>
      <c r="P107" s="3">
        <v>5400</v>
      </c>
      <c r="Q107" s="3">
        <v>3000</v>
      </c>
      <c r="R107" s="3" t="s">
        <v>42</v>
      </c>
      <c r="S107" s="3" t="str">
        <f>IF(AND(Table1[[#This Row],[Total Revenue (PKR)]]&gt;50000, Table1[[#This Row],[Discount %]]&lt;10),"High Value","Standard")</f>
        <v>Standard</v>
      </c>
      <c r="T107" s="3" t="s">
        <v>30</v>
      </c>
      <c r="U107" s="7" t="s">
        <v>24</v>
      </c>
      <c r="V107" s="20" t="s">
        <v>263</v>
      </c>
    </row>
    <row r="108" spans="1:22" x14ac:dyDescent="0.25">
      <c r="A108" s="4" t="s">
        <v>276</v>
      </c>
      <c r="B108" s="15">
        <f>DATEVALUE(Table1[[#This Row],[Date2]])</f>
        <v>45546</v>
      </c>
      <c r="C108" s="2" t="str">
        <f>TEXT(Table1[[#This Row],[Date]],"MMM")</f>
        <v>Sep</v>
      </c>
      <c r="D108" s="2" t="str">
        <f>"Q"&amp;ROUNDUP(MONTH(Table1[[#This Row],[Date]])/3,0)</f>
        <v>Q3</v>
      </c>
      <c r="E108" s="2">
        <f>YEAR(Table1[[#This Row],[Date]])</f>
        <v>2024</v>
      </c>
      <c r="F108" s="2" t="s">
        <v>47</v>
      </c>
      <c r="G108" s="2" t="s">
        <v>40</v>
      </c>
      <c r="H108" s="2" t="s">
        <v>34</v>
      </c>
      <c r="I108" s="2" t="s">
        <v>35</v>
      </c>
      <c r="J108" s="2">
        <v>9</v>
      </c>
      <c r="K108" s="2">
        <v>6000</v>
      </c>
      <c r="L108" s="2">
        <v>15</v>
      </c>
      <c r="M108" s="2">
        <v>45900</v>
      </c>
      <c r="N108" s="23">
        <f>(Table1[[#This Row],[Profit (PKR)]]/Table1[[#This Row],[Total Revenue (PKR)]])</f>
        <v>0.31372549019607843</v>
      </c>
      <c r="O108" s="2">
        <v>3500</v>
      </c>
      <c r="P108" s="2">
        <v>31500</v>
      </c>
      <c r="Q108" s="2">
        <v>14400</v>
      </c>
      <c r="R108" s="2" t="s">
        <v>42</v>
      </c>
      <c r="S108" s="2" t="str">
        <f>IF(AND(Table1[[#This Row],[Total Revenue (PKR)]]&gt;50000, Table1[[#This Row],[Discount %]]&lt;10),"High Value","Standard")</f>
        <v>Standard</v>
      </c>
      <c r="T108" s="2" t="s">
        <v>23</v>
      </c>
      <c r="U108" s="6" t="s">
        <v>44</v>
      </c>
      <c r="V108" s="19" t="s">
        <v>277</v>
      </c>
    </row>
    <row r="109" spans="1:22" x14ac:dyDescent="0.25">
      <c r="A109" s="5" t="s">
        <v>278</v>
      </c>
      <c r="B109" s="16">
        <f>DATEVALUE(Table1[[#This Row],[Date2]])</f>
        <v>45530</v>
      </c>
      <c r="C109" s="3" t="str">
        <f>TEXT(Table1[[#This Row],[Date]],"MMM")</f>
        <v>Aug</v>
      </c>
      <c r="D109" s="3" t="str">
        <f>"Q"&amp;ROUNDUP(MONTH(Table1[[#This Row],[Date]])/3,0)</f>
        <v>Q3</v>
      </c>
      <c r="E109" s="3">
        <f>YEAR(Table1[[#This Row],[Date]])</f>
        <v>2024</v>
      </c>
      <c r="F109" s="3" t="s">
        <v>39</v>
      </c>
      <c r="G109" s="3" t="s">
        <v>40</v>
      </c>
      <c r="H109" s="3" t="s">
        <v>28</v>
      </c>
      <c r="I109" s="3" t="s">
        <v>49</v>
      </c>
      <c r="J109" s="3">
        <v>12</v>
      </c>
      <c r="K109" s="3">
        <v>5000</v>
      </c>
      <c r="L109" s="3">
        <v>20</v>
      </c>
      <c r="M109" s="3">
        <v>48000</v>
      </c>
      <c r="N109" s="24">
        <f>(Table1[[#This Row],[Profit (PKR)]]/Table1[[#This Row],[Total Revenue (PKR)]])</f>
        <v>0.25</v>
      </c>
      <c r="O109" s="3">
        <v>3000</v>
      </c>
      <c r="P109" s="3">
        <v>36000</v>
      </c>
      <c r="Q109" s="3">
        <v>12000</v>
      </c>
      <c r="R109" s="3" t="s">
        <v>42</v>
      </c>
      <c r="S109" s="3" t="str">
        <f>IF(AND(Table1[[#This Row],[Total Revenue (PKR)]]&gt;50000, Table1[[#This Row],[Discount %]]&lt;10),"High Value","Standard")</f>
        <v>Standard</v>
      </c>
      <c r="T109" s="3" t="s">
        <v>23</v>
      </c>
      <c r="U109" s="7" t="s">
        <v>95</v>
      </c>
      <c r="V109" s="20" t="s">
        <v>279</v>
      </c>
    </row>
    <row r="110" spans="1:22" x14ac:dyDescent="0.25">
      <c r="A110" s="4" t="s">
        <v>280</v>
      </c>
      <c r="B110" s="15">
        <f>DATEVALUE(Table1[[#This Row],[Date2]])</f>
        <v>45645</v>
      </c>
      <c r="C110" s="2" t="str">
        <f>TEXT(Table1[[#This Row],[Date]],"MMM")</f>
        <v>Dec</v>
      </c>
      <c r="D110" s="2" t="str">
        <f>"Q"&amp;ROUNDUP(MONTH(Table1[[#This Row],[Date]])/3,0)</f>
        <v>Q4</v>
      </c>
      <c r="E110" s="2">
        <f>YEAR(Table1[[#This Row],[Date]])</f>
        <v>2024</v>
      </c>
      <c r="F110" s="2" t="s">
        <v>39</v>
      </c>
      <c r="G110" s="2" t="s">
        <v>74</v>
      </c>
      <c r="H110" s="2" t="s">
        <v>20</v>
      </c>
      <c r="I110" s="2" t="s">
        <v>21</v>
      </c>
      <c r="J110" s="2">
        <v>13</v>
      </c>
      <c r="K110" s="2">
        <v>3500</v>
      </c>
      <c r="L110" s="2">
        <v>15</v>
      </c>
      <c r="M110" s="2">
        <v>38675</v>
      </c>
      <c r="N110" s="23">
        <f>(Table1[[#This Row],[Profit (PKR)]]/Table1[[#This Row],[Total Revenue (PKR)]])</f>
        <v>0.32773109243697479</v>
      </c>
      <c r="O110" s="2">
        <v>2000</v>
      </c>
      <c r="P110" s="2">
        <v>26000</v>
      </c>
      <c r="Q110" s="2">
        <v>12675</v>
      </c>
      <c r="R110" s="2" t="s">
        <v>22</v>
      </c>
      <c r="S110" s="2" t="str">
        <f>IF(AND(Table1[[#This Row],[Total Revenue (PKR)]]&gt;50000, Table1[[#This Row],[Discount %]]&lt;10),"High Value","Standard")</f>
        <v>Standard</v>
      </c>
      <c r="T110" s="2" t="s">
        <v>36</v>
      </c>
      <c r="U110" s="6" t="s">
        <v>44</v>
      </c>
      <c r="V110" s="19" t="s">
        <v>97</v>
      </c>
    </row>
    <row r="111" spans="1:22" x14ac:dyDescent="0.25">
      <c r="A111" s="5" t="s">
        <v>281</v>
      </c>
      <c r="B111" s="16">
        <f>DATEVALUE(Table1[[#This Row],[Date2]])</f>
        <v>45475</v>
      </c>
      <c r="C111" s="3" t="str">
        <f>TEXT(Table1[[#This Row],[Date]],"MMM")</f>
        <v>Jul</v>
      </c>
      <c r="D111" s="3" t="str">
        <f>"Q"&amp;ROUNDUP(MONTH(Table1[[#This Row],[Date]])/3,0)</f>
        <v>Q3</v>
      </c>
      <c r="E111" s="3">
        <f>YEAR(Table1[[#This Row],[Date]])</f>
        <v>2024</v>
      </c>
      <c r="F111" s="3" t="s">
        <v>47</v>
      </c>
      <c r="G111" s="3" t="s">
        <v>48</v>
      </c>
      <c r="H111" s="3" t="s">
        <v>20</v>
      </c>
      <c r="I111" s="3" t="s">
        <v>65</v>
      </c>
      <c r="J111" s="3">
        <v>13</v>
      </c>
      <c r="K111" s="3">
        <v>18000</v>
      </c>
      <c r="L111" s="3">
        <v>10</v>
      </c>
      <c r="M111" s="3">
        <v>210600</v>
      </c>
      <c r="N111" s="24">
        <f>(Table1[[#This Row],[Profit (PKR)]]/Table1[[#This Row],[Total Revenue (PKR)]])</f>
        <v>0.25925925925925924</v>
      </c>
      <c r="O111" s="3">
        <v>12000</v>
      </c>
      <c r="P111" s="3">
        <v>156000</v>
      </c>
      <c r="Q111" s="3">
        <v>54600</v>
      </c>
      <c r="R111" s="3" t="s">
        <v>22</v>
      </c>
      <c r="S111" s="3" t="str">
        <f>IF(AND(Table1[[#This Row],[Total Revenue (PKR)]]&gt;50000, Table1[[#This Row],[Discount %]]&lt;10),"High Value","Standard")</f>
        <v>Standard</v>
      </c>
      <c r="T111" s="3" t="s">
        <v>30</v>
      </c>
      <c r="U111" s="7" t="s">
        <v>86</v>
      </c>
      <c r="V111" s="20" t="s">
        <v>282</v>
      </c>
    </row>
    <row r="112" spans="1:22" x14ac:dyDescent="0.25">
      <c r="A112" s="4" t="s">
        <v>283</v>
      </c>
      <c r="B112" s="15">
        <f>DATEVALUE(Table1[[#This Row],[Date2]])</f>
        <v>45317</v>
      </c>
      <c r="C112" s="2" t="str">
        <f>TEXT(Table1[[#This Row],[Date]],"MMM")</f>
        <v>Jan</v>
      </c>
      <c r="D112" s="2" t="str">
        <f>"Q"&amp;ROUNDUP(MONTH(Table1[[#This Row],[Date]])/3,0)</f>
        <v>Q1</v>
      </c>
      <c r="E112" s="2">
        <f>YEAR(Table1[[#This Row],[Date]])</f>
        <v>2024</v>
      </c>
      <c r="F112" s="2" t="s">
        <v>47</v>
      </c>
      <c r="G112" s="2" t="s">
        <v>74</v>
      </c>
      <c r="H112" s="2" t="s">
        <v>20</v>
      </c>
      <c r="I112" s="2" t="s">
        <v>21</v>
      </c>
      <c r="J112" s="2">
        <v>20</v>
      </c>
      <c r="K112" s="2">
        <v>3500</v>
      </c>
      <c r="L112" s="2">
        <v>10</v>
      </c>
      <c r="M112" s="2">
        <v>63000</v>
      </c>
      <c r="N112" s="23">
        <f>(Table1[[#This Row],[Profit (PKR)]]/Table1[[#This Row],[Total Revenue (PKR)]])</f>
        <v>0.36507936507936506</v>
      </c>
      <c r="O112" s="2">
        <v>2000</v>
      </c>
      <c r="P112" s="2">
        <v>40000</v>
      </c>
      <c r="Q112" s="2">
        <v>23000</v>
      </c>
      <c r="R112" s="2" t="s">
        <v>22</v>
      </c>
      <c r="S112" s="2" t="str">
        <f>IF(AND(Table1[[#This Row],[Total Revenue (PKR)]]&gt;50000, Table1[[#This Row],[Discount %]]&lt;10),"High Value","Standard")</f>
        <v>Standard</v>
      </c>
      <c r="T112" s="2" t="s">
        <v>23</v>
      </c>
      <c r="U112" s="6" t="s">
        <v>44</v>
      </c>
      <c r="V112" s="19" t="s">
        <v>124</v>
      </c>
    </row>
    <row r="113" spans="1:22" x14ac:dyDescent="0.25">
      <c r="A113" s="5" t="s">
        <v>284</v>
      </c>
      <c r="B113" s="16">
        <f>DATEVALUE(Table1[[#This Row],[Date2]])</f>
        <v>45420</v>
      </c>
      <c r="C113" s="3" t="str">
        <f>TEXT(Table1[[#This Row],[Date]],"MMM")</f>
        <v>May</v>
      </c>
      <c r="D113" s="3" t="str">
        <f>"Q"&amp;ROUNDUP(MONTH(Table1[[#This Row],[Date]])/3,0)</f>
        <v>Q2</v>
      </c>
      <c r="E113" s="3">
        <f>YEAR(Table1[[#This Row],[Date]])</f>
        <v>2024</v>
      </c>
      <c r="F113" s="3" t="s">
        <v>92</v>
      </c>
      <c r="G113" s="3" t="s">
        <v>159</v>
      </c>
      <c r="H113" s="3" t="s">
        <v>28</v>
      </c>
      <c r="I113" s="3" t="s">
        <v>274</v>
      </c>
      <c r="J113" s="3">
        <v>15</v>
      </c>
      <c r="K113" s="3">
        <v>35000</v>
      </c>
      <c r="L113" s="3">
        <v>0</v>
      </c>
      <c r="M113" s="3">
        <v>525000</v>
      </c>
      <c r="N113" s="24">
        <f>(Table1[[#This Row],[Profit (PKR)]]/Table1[[#This Row],[Total Revenue (PKR)]])</f>
        <v>0.25714285714285712</v>
      </c>
      <c r="O113" s="3">
        <v>26000</v>
      </c>
      <c r="P113" s="3">
        <v>390000</v>
      </c>
      <c r="Q113" s="3">
        <v>135000</v>
      </c>
      <c r="R113" s="3" t="s">
        <v>42</v>
      </c>
      <c r="S113" s="3" t="str">
        <f>IF(AND(Table1[[#This Row],[Total Revenue (PKR)]]&gt;50000, Table1[[#This Row],[Discount %]]&lt;10),"High Value","Standard")</f>
        <v>High Value</v>
      </c>
      <c r="T113" s="3" t="s">
        <v>23</v>
      </c>
      <c r="U113" s="7" t="s">
        <v>44</v>
      </c>
      <c r="V113" s="20" t="s">
        <v>285</v>
      </c>
    </row>
    <row r="114" spans="1:22" x14ac:dyDescent="0.25">
      <c r="A114" s="4" t="s">
        <v>286</v>
      </c>
      <c r="B114" s="15">
        <f>DATEVALUE(Table1[[#This Row],[Date2]])</f>
        <v>45443</v>
      </c>
      <c r="C114" s="2" t="str">
        <f>TEXT(Table1[[#This Row],[Date]],"MMM")</f>
        <v>May</v>
      </c>
      <c r="D114" s="2" t="str">
        <f>"Q"&amp;ROUNDUP(MONTH(Table1[[#This Row],[Date]])/3,0)</f>
        <v>Q2</v>
      </c>
      <c r="E114" s="2">
        <f>YEAR(Table1[[#This Row],[Date]])</f>
        <v>2024</v>
      </c>
      <c r="F114" s="2" t="s">
        <v>100</v>
      </c>
      <c r="G114" s="2" t="s">
        <v>27</v>
      </c>
      <c r="H114" s="2" t="s">
        <v>34</v>
      </c>
      <c r="I114" s="2" t="s">
        <v>146</v>
      </c>
      <c r="J114" s="2">
        <v>5</v>
      </c>
      <c r="K114" s="2">
        <v>3500</v>
      </c>
      <c r="L114" s="2">
        <v>20</v>
      </c>
      <c r="M114" s="2">
        <v>14000</v>
      </c>
      <c r="N114" s="23">
        <f>(Table1[[#This Row],[Profit (PKR)]]/Table1[[#This Row],[Total Revenue (PKR)]])</f>
        <v>0.35714285714285715</v>
      </c>
      <c r="O114" s="2">
        <v>1800</v>
      </c>
      <c r="P114" s="2">
        <v>9000</v>
      </c>
      <c r="Q114" s="2">
        <v>5000</v>
      </c>
      <c r="R114" s="2" t="s">
        <v>42</v>
      </c>
      <c r="S114" s="2" t="str">
        <f>IF(AND(Table1[[#This Row],[Total Revenue (PKR)]]&gt;50000, Table1[[#This Row],[Discount %]]&lt;10),"High Value","Standard")</f>
        <v>Standard</v>
      </c>
      <c r="T114" s="2" t="s">
        <v>30</v>
      </c>
      <c r="U114" s="6" t="s">
        <v>44</v>
      </c>
      <c r="V114" s="19" t="s">
        <v>223</v>
      </c>
    </row>
    <row r="115" spans="1:22" x14ac:dyDescent="0.25">
      <c r="A115" s="5" t="s">
        <v>287</v>
      </c>
      <c r="B115" s="16">
        <f>DATEVALUE(Table1[[#This Row],[Date2]])</f>
        <v>45431</v>
      </c>
      <c r="C115" s="3" t="str">
        <f>TEXT(Table1[[#This Row],[Date]],"MMM")</f>
        <v>May</v>
      </c>
      <c r="D115" s="3" t="str">
        <f>"Q"&amp;ROUNDUP(MONTH(Table1[[#This Row],[Date]])/3,0)</f>
        <v>Q2</v>
      </c>
      <c r="E115" s="3">
        <f>YEAR(Table1[[#This Row],[Date]])</f>
        <v>2024</v>
      </c>
      <c r="F115" s="3" t="s">
        <v>92</v>
      </c>
      <c r="G115" s="3" t="s">
        <v>48</v>
      </c>
      <c r="H115" s="3" t="s">
        <v>93</v>
      </c>
      <c r="I115" s="3" t="s">
        <v>98</v>
      </c>
      <c r="J115" s="3">
        <v>11</v>
      </c>
      <c r="K115" s="3">
        <v>400</v>
      </c>
      <c r="L115" s="3">
        <v>0</v>
      </c>
      <c r="M115" s="3">
        <v>4400</v>
      </c>
      <c r="N115" s="24">
        <f>(Table1[[#This Row],[Profit (PKR)]]/Table1[[#This Row],[Total Revenue (PKR)]])</f>
        <v>0.3</v>
      </c>
      <c r="O115" s="3">
        <v>280</v>
      </c>
      <c r="P115" s="3">
        <v>3080</v>
      </c>
      <c r="Q115" s="3">
        <v>1320</v>
      </c>
      <c r="R115" s="3" t="s">
        <v>42</v>
      </c>
      <c r="S115" s="3" t="str">
        <f>IF(AND(Table1[[#This Row],[Total Revenue (PKR)]]&gt;50000, Table1[[#This Row],[Discount %]]&lt;10),"High Value","Standard")</f>
        <v>Standard</v>
      </c>
      <c r="T115" s="3" t="s">
        <v>43</v>
      </c>
      <c r="U115" s="7" t="s">
        <v>44</v>
      </c>
      <c r="V115" s="20" t="s">
        <v>288</v>
      </c>
    </row>
    <row r="116" spans="1:22" x14ac:dyDescent="0.25">
      <c r="A116" s="4" t="s">
        <v>289</v>
      </c>
      <c r="B116" s="15">
        <f>DATEVALUE(Table1[[#This Row],[Date2]])</f>
        <v>45407</v>
      </c>
      <c r="C116" s="2" t="str">
        <f>TEXT(Table1[[#This Row],[Date]],"MMM")</f>
        <v>Apr</v>
      </c>
      <c r="D116" s="2" t="str">
        <f>"Q"&amp;ROUNDUP(MONTH(Table1[[#This Row],[Date]])/3,0)</f>
        <v>Q2</v>
      </c>
      <c r="E116" s="2">
        <f>YEAR(Table1[[#This Row],[Date]])</f>
        <v>2024</v>
      </c>
      <c r="F116" s="2" t="s">
        <v>77</v>
      </c>
      <c r="G116" s="2" t="s">
        <v>52</v>
      </c>
      <c r="H116" s="2" t="s">
        <v>28</v>
      </c>
      <c r="I116" s="2" t="s">
        <v>49</v>
      </c>
      <c r="J116" s="2">
        <v>1</v>
      </c>
      <c r="K116" s="2">
        <v>5000</v>
      </c>
      <c r="L116" s="2">
        <v>10</v>
      </c>
      <c r="M116" s="2">
        <v>4500</v>
      </c>
      <c r="N116" s="23">
        <f>(Table1[[#This Row],[Profit (PKR)]]/Table1[[#This Row],[Total Revenue (PKR)]])</f>
        <v>0.33333333333333331</v>
      </c>
      <c r="O116" s="2">
        <v>3000</v>
      </c>
      <c r="P116" s="2">
        <v>3000</v>
      </c>
      <c r="Q116" s="2">
        <v>1500</v>
      </c>
      <c r="R116" s="2" t="s">
        <v>22</v>
      </c>
      <c r="S116" s="2" t="str">
        <f>IF(AND(Table1[[#This Row],[Total Revenue (PKR)]]&gt;50000, Table1[[#This Row],[Discount %]]&lt;10),"High Value","Standard")</f>
        <v>Standard</v>
      </c>
      <c r="T116" s="2" t="s">
        <v>66</v>
      </c>
      <c r="U116" s="6" t="s">
        <v>44</v>
      </c>
      <c r="V116" s="19" t="s">
        <v>254</v>
      </c>
    </row>
    <row r="117" spans="1:22" x14ac:dyDescent="0.25">
      <c r="A117" s="5" t="s">
        <v>290</v>
      </c>
      <c r="B117" s="16">
        <f>DATEVALUE(Table1[[#This Row],[Date2]])</f>
        <v>45636</v>
      </c>
      <c r="C117" s="3" t="str">
        <f>TEXT(Table1[[#This Row],[Date]],"MMM")</f>
        <v>Dec</v>
      </c>
      <c r="D117" s="3" t="str">
        <f>"Q"&amp;ROUNDUP(MONTH(Table1[[#This Row],[Date]])/3,0)</f>
        <v>Q4</v>
      </c>
      <c r="E117" s="3">
        <f>YEAR(Table1[[#This Row],[Date]])</f>
        <v>2024</v>
      </c>
      <c r="F117" s="3" t="s">
        <v>39</v>
      </c>
      <c r="G117" s="3" t="s">
        <v>27</v>
      </c>
      <c r="H117" s="3" t="s">
        <v>20</v>
      </c>
      <c r="I117" s="3" t="s">
        <v>65</v>
      </c>
      <c r="J117" s="3">
        <v>8</v>
      </c>
      <c r="K117" s="3">
        <v>18000</v>
      </c>
      <c r="L117" s="3">
        <v>15</v>
      </c>
      <c r="M117" s="3">
        <v>122400</v>
      </c>
      <c r="N117" s="24">
        <f>(Table1[[#This Row],[Profit (PKR)]]/Table1[[#This Row],[Total Revenue (PKR)]])</f>
        <v>0.21568627450980393</v>
      </c>
      <c r="O117" s="3">
        <v>12000</v>
      </c>
      <c r="P117" s="3">
        <v>96000</v>
      </c>
      <c r="Q117" s="3">
        <v>26400</v>
      </c>
      <c r="R117" s="3" t="s">
        <v>22</v>
      </c>
      <c r="S117" s="3" t="str">
        <f>IF(AND(Table1[[#This Row],[Total Revenue (PKR)]]&gt;50000, Table1[[#This Row],[Discount %]]&lt;10),"High Value","Standard")</f>
        <v>Standard</v>
      </c>
      <c r="T117" s="3" t="s">
        <v>30</v>
      </c>
      <c r="U117" s="7" t="s">
        <v>86</v>
      </c>
      <c r="V117" s="20" t="s">
        <v>291</v>
      </c>
    </row>
    <row r="118" spans="1:22" x14ac:dyDescent="0.25">
      <c r="A118" s="4" t="s">
        <v>292</v>
      </c>
      <c r="B118" s="15">
        <f>DATEVALUE(Table1[[#This Row],[Date2]])</f>
        <v>45579</v>
      </c>
      <c r="C118" s="2" t="str">
        <f>TEXT(Table1[[#This Row],[Date]],"MMM")</f>
        <v>Oct</v>
      </c>
      <c r="D118" s="2" t="str">
        <f>"Q"&amp;ROUNDUP(MONTH(Table1[[#This Row],[Date]])/3,0)</f>
        <v>Q4</v>
      </c>
      <c r="E118" s="2">
        <f>YEAR(Table1[[#This Row],[Date]])</f>
        <v>2024</v>
      </c>
      <c r="F118" s="2" t="s">
        <v>100</v>
      </c>
      <c r="G118" s="2" t="s">
        <v>64</v>
      </c>
      <c r="H118" s="2" t="s">
        <v>28</v>
      </c>
      <c r="I118" s="2" t="s">
        <v>49</v>
      </c>
      <c r="J118" s="2">
        <v>10</v>
      </c>
      <c r="K118" s="2">
        <v>5000</v>
      </c>
      <c r="L118" s="2">
        <v>25</v>
      </c>
      <c r="M118" s="2">
        <v>37500</v>
      </c>
      <c r="N118" s="23">
        <f>(Table1[[#This Row],[Profit (PKR)]]/Table1[[#This Row],[Total Revenue (PKR)]])</f>
        <v>0.2</v>
      </c>
      <c r="O118" s="2">
        <v>3000</v>
      </c>
      <c r="P118" s="2">
        <v>30000</v>
      </c>
      <c r="Q118" s="2">
        <v>7500</v>
      </c>
      <c r="R118" s="2" t="s">
        <v>42</v>
      </c>
      <c r="S118" s="2" t="str">
        <f>IF(AND(Table1[[#This Row],[Total Revenue (PKR)]]&gt;50000, Table1[[#This Row],[Discount %]]&lt;10),"High Value","Standard")</f>
        <v>Standard</v>
      </c>
      <c r="T118" s="2" t="s">
        <v>43</v>
      </c>
      <c r="U118" s="6" t="s">
        <v>44</v>
      </c>
      <c r="V118" s="19" t="s">
        <v>32</v>
      </c>
    </row>
    <row r="119" spans="1:22" x14ac:dyDescent="0.25">
      <c r="A119" s="5" t="s">
        <v>293</v>
      </c>
      <c r="B119" s="16">
        <f>DATEVALUE(Table1[[#This Row],[Date2]])</f>
        <v>45311</v>
      </c>
      <c r="C119" s="3" t="str">
        <f>TEXT(Table1[[#This Row],[Date]],"MMM")</f>
        <v>Jan</v>
      </c>
      <c r="D119" s="3" t="str">
        <f>"Q"&amp;ROUNDUP(MONTH(Table1[[#This Row],[Date]])/3,0)</f>
        <v>Q1</v>
      </c>
      <c r="E119" s="3">
        <f>YEAR(Table1[[#This Row],[Date]])</f>
        <v>2024</v>
      </c>
      <c r="F119" s="3" t="s">
        <v>39</v>
      </c>
      <c r="G119" s="3" t="s">
        <v>74</v>
      </c>
      <c r="H119" s="3" t="s">
        <v>28</v>
      </c>
      <c r="I119" s="3" t="s">
        <v>29</v>
      </c>
      <c r="J119" s="3">
        <v>8</v>
      </c>
      <c r="K119" s="3">
        <v>25000</v>
      </c>
      <c r="L119" s="3">
        <v>20</v>
      </c>
      <c r="M119" s="3">
        <v>160000</v>
      </c>
      <c r="N119" s="24">
        <f>(Table1[[#This Row],[Profit (PKR)]]/Table1[[#This Row],[Total Revenue (PKR)]])</f>
        <v>0.1</v>
      </c>
      <c r="O119" s="3">
        <v>18000</v>
      </c>
      <c r="P119" s="3">
        <v>144000</v>
      </c>
      <c r="Q119" s="3">
        <v>16000</v>
      </c>
      <c r="R119" s="3" t="s">
        <v>22</v>
      </c>
      <c r="S119" s="3" t="str">
        <f>IF(AND(Table1[[#This Row],[Total Revenue (PKR)]]&gt;50000, Table1[[#This Row],[Discount %]]&lt;10),"High Value","Standard")</f>
        <v>Standard</v>
      </c>
      <c r="T119" s="3" t="s">
        <v>66</v>
      </c>
      <c r="U119" s="7" t="s">
        <v>44</v>
      </c>
      <c r="V119" s="20" t="s">
        <v>294</v>
      </c>
    </row>
    <row r="120" spans="1:22" x14ac:dyDescent="0.25">
      <c r="A120" s="4" t="s">
        <v>295</v>
      </c>
      <c r="B120" s="15">
        <f>DATEVALUE(Table1[[#This Row],[Date2]])</f>
        <v>45635</v>
      </c>
      <c r="C120" s="2" t="str">
        <f>TEXT(Table1[[#This Row],[Date]],"MMM")</f>
        <v>Dec</v>
      </c>
      <c r="D120" s="2" t="str">
        <f>"Q"&amp;ROUNDUP(MONTH(Table1[[#This Row],[Date]])/3,0)</f>
        <v>Q4</v>
      </c>
      <c r="E120" s="2">
        <f>YEAR(Table1[[#This Row],[Date]])</f>
        <v>2024</v>
      </c>
      <c r="F120" s="2" t="s">
        <v>63</v>
      </c>
      <c r="G120" s="2" t="s">
        <v>27</v>
      </c>
      <c r="H120" s="2" t="s">
        <v>53</v>
      </c>
      <c r="I120" s="2" t="s">
        <v>54</v>
      </c>
      <c r="J120" s="2">
        <v>14</v>
      </c>
      <c r="K120" s="2">
        <v>2000</v>
      </c>
      <c r="L120" s="2">
        <v>25</v>
      </c>
      <c r="M120" s="2">
        <v>21000</v>
      </c>
      <c r="N120" s="23">
        <f>(Table1[[#This Row],[Profit (PKR)]]/Table1[[#This Row],[Total Revenue (PKR)]])</f>
        <v>0.2</v>
      </c>
      <c r="O120" s="2">
        <v>1200</v>
      </c>
      <c r="P120" s="2">
        <v>16800</v>
      </c>
      <c r="Q120" s="2">
        <v>4200</v>
      </c>
      <c r="R120" s="2" t="s">
        <v>22</v>
      </c>
      <c r="S120" s="2" t="str">
        <f>IF(AND(Table1[[#This Row],[Total Revenue (PKR)]]&gt;50000, Table1[[#This Row],[Discount %]]&lt;10),"High Value","Standard")</f>
        <v>Standard</v>
      </c>
      <c r="T120" s="2" t="s">
        <v>66</v>
      </c>
      <c r="U120" s="6" t="s">
        <v>24</v>
      </c>
      <c r="V120" s="19" t="s">
        <v>296</v>
      </c>
    </row>
    <row r="121" spans="1:22" x14ac:dyDescent="0.25">
      <c r="A121" s="5" t="s">
        <v>297</v>
      </c>
      <c r="B121" s="16">
        <f>DATEVALUE(Table1[[#This Row],[Date2]])</f>
        <v>45435</v>
      </c>
      <c r="C121" s="3" t="str">
        <f>TEXT(Table1[[#This Row],[Date]],"MMM")</f>
        <v>May</v>
      </c>
      <c r="D121" s="3" t="str">
        <f>"Q"&amp;ROUNDUP(MONTH(Table1[[#This Row],[Date]])/3,0)</f>
        <v>Q2</v>
      </c>
      <c r="E121" s="3">
        <f>YEAR(Table1[[#This Row],[Date]])</f>
        <v>2024</v>
      </c>
      <c r="F121" s="3" t="s">
        <v>104</v>
      </c>
      <c r="G121" s="3" t="s">
        <v>52</v>
      </c>
      <c r="H121" s="3" t="s">
        <v>34</v>
      </c>
      <c r="I121" s="3" t="s">
        <v>35</v>
      </c>
      <c r="J121" s="3">
        <v>15</v>
      </c>
      <c r="K121" s="3">
        <v>6000</v>
      </c>
      <c r="L121" s="3">
        <v>5</v>
      </c>
      <c r="M121" s="3">
        <v>85500</v>
      </c>
      <c r="N121" s="24">
        <f>(Table1[[#This Row],[Profit (PKR)]]/Table1[[#This Row],[Total Revenue (PKR)]])</f>
        <v>0.38596491228070173</v>
      </c>
      <c r="O121" s="3">
        <v>3500</v>
      </c>
      <c r="P121" s="3">
        <v>52500</v>
      </c>
      <c r="Q121" s="3">
        <v>33000</v>
      </c>
      <c r="R121" s="3" t="s">
        <v>42</v>
      </c>
      <c r="S121" s="3" t="str">
        <f>IF(AND(Table1[[#This Row],[Total Revenue (PKR)]]&gt;50000, Table1[[#This Row],[Discount %]]&lt;10),"High Value","Standard")</f>
        <v>High Value</v>
      </c>
      <c r="T121" s="3" t="s">
        <v>43</v>
      </c>
      <c r="U121" s="7" t="s">
        <v>56</v>
      </c>
      <c r="V121" s="20" t="s">
        <v>298</v>
      </c>
    </row>
    <row r="122" spans="1:22" x14ac:dyDescent="0.25">
      <c r="A122" s="4" t="s">
        <v>299</v>
      </c>
      <c r="B122" s="15">
        <f>DATEVALUE(Table1[[#This Row],[Date2]])</f>
        <v>45480</v>
      </c>
      <c r="C122" s="2" t="str">
        <f>TEXT(Table1[[#This Row],[Date]],"MMM")</f>
        <v>Jul</v>
      </c>
      <c r="D122" s="2" t="str">
        <f>"Q"&amp;ROUNDUP(MONTH(Table1[[#This Row],[Date]])/3,0)</f>
        <v>Q3</v>
      </c>
      <c r="E122" s="2">
        <f>YEAR(Table1[[#This Row],[Date]])</f>
        <v>2024</v>
      </c>
      <c r="F122" s="2" t="s">
        <v>63</v>
      </c>
      <c r="G122" s="2" t="s">
        <v>52</v>
      </c>
      <c r="H122" s="2" t="s">
        <v>28</v>
      </c>
      <c r="I122" s="2" t="s">
        <v>49</v>
      </c>
      <c r="J122" s="2">
        <v>9</v>
      </c>
      <c r="K122" s="2">
        <v>5000</v>
      </c>
      <c r="L122" s="2">
        <v>5</v>
      </c>
      <c r="M122" s="2">
        <v>42750</v>
      </c>
      <c r="N122" s="23">
        <f>(Table1[[#This Row],[Profit (PKR)]]/Table1[[#This Row],[Total Revenue (PKR)]])</f>
        <v>0.36842105263157893</v>
      </c>
      <c r="O122" s="2">
        <v>3000</v>
      </c>
      <c r="P122" s="2">
        <v>27000</v>
      </c>
      <c r="Q122" s="2">
        <v>15750</v>
      </c>
      <c r="R122" s="2" t="s">
        <v>22</v>
      </c>
      <c r="S122" s="2" t="str">
        <f>IF(AND(Table1[[#This Row],[Total Revenue (PKR)]]&gt;50000, Table1[[#This Row],[Discount %]]&lt;10),"High Value","Standard")</f>
        <v>Standard</v>
      </c>
      <c r="T122" s="2" t="s">
        <v>66</v>
      </c>
      <c r="U122" s="6" t="s">
        <v>44</v>
      </c>
      <c r="V122" s="19" t="s">
        <v>200</v>
      </c>
    </row>
    <row r="123" spans="1:22" x14ac:dyDescent="0.25">
      <c r="A123" s="5" t="s">
        <v>300</v>
      </c>
      <c r="B123" s="16">
        <f>DATEVALUE(Table1[[#This Row],[Date2]])</f>
        <v>45400</v>
      </c>
      <c r="C123" s="3" t="str">
        <f>TEXT(Table1[[#This Row],[Date]],"MMM")</f>
        <v>Apr</v>
      </c>
      <c r="D123" s="3" t="str">
        <f>"Q"&amp;ROUNDUP(MONTH(Table1[[#This Row],[Date]])/3,0)</f>
        <v>Q2</v>
      </c>
      <c r="E123" s="3">
        <f>YEAR(Table1[[#This Row],[Date]])</f>
        <v>2024</v>
      </c>
      <c r="F123" s="3" t="s">
        <v>47</v>
      </c>
      <c r="G123" s="3" t="s">
        <v>19</v>
      </c>
      <c r="H123" s="3" t="s">
        <v>28</v>
      </c>
      <c r="I123" s="3" t="s">
        <v>274</v>
      </c>
      <c r="J123" s="3">
        <v>8</v>
      </c>
      <c r="K123" s="3">
        <v>35000</v>
      </c>
      <c r="L123" s="3">
        <v>5</v>
      </c>
      <c r="M123" s="3">
        <v>266000</v>
      </c>
      <c r="N123" s="24">
        <f>(Table1[[#This Row],[Profit (PKR)]]/Table1[[#This Row],[Total Revenue (PKR)]])</f>
        <v>0.21804511278195488</v>
      </c>
      <c r="O123" s="3">
        <v>26000</v>
      </c>
      <c r="P123" s="3">
        <v>208000</v>
      </c>
      <c r="Q123" s="3">
        <v>58000</v>
      </c>
      <c r="R123" s="3" t="s">
        <v>22</v>
      </c>
      <c r="S123" s="3" t="str">
        <f>IF(AND(Table1[[#This Row],[Total Revenue (PKR)]]&gt;50000, Table1[[#This Row],[Discount %]]&lt;10),"High Value","Standard")</f>
        <v>High Value</v>
      </c>
      <c r="T123" s="3" t="s">
        <v>43</v>
      </c>
      <c r="U123" s="7" t="s">
        <v>86</v>
      </c>
      <c r="V123" s="20" t="s">
        <v>68</v>
      </c>
    </row>
    <row r="124" spans="1:22" x14ac:dyDescent="0.25">
      <c r="A124" s="4" t="s">
        <v>301</v>
      </c>
      <c r="B124" s="15">
        <f>DATEVALUE(Table1[[#This Row],[Date2]])</f>
        <v>45575</v>
      </c>
      <c r="C124" s="2" t="str">
        <f>TEXT(Table1[[#This Row],[Date]],"MMM")</f>
        <v>Oct</v>
      </c>
      <c r="D124" s="2" t="str">
        <f>"Q"&amp;ROUNDUP(MONTH(Table1[[#This Row],[Date]])/3,0)</f>
        <v>Q4</v>
      </c>
      <c r="E124" s="2">
        <f>YEAR(Table1[[#This Row],[Date]])</f>
        <v>2024</v>
      </c>
      <c r="F124" s="2" t="s">
        <v>33</v>
      </c>
      <c r="G124" s="2" t="s">
        <v>64</v>
      </c>
      <c r="H124" s="2" t="s">
        <v>34</v>
      </c>
      <c r="I124" s="2" t="s">
        <v>41</v>
      </c>
      <c r="J124" s="2">
        <v>5</v>
      </c>
      <c r="K124" s="2">
        <v>3000</v>
      </c>
      <c r="L124" s="2">
        <v>20</v>
      </c>
      <c r="M124" s="2">
        <v>12000</v>
      </c>
      <c r="N124" s="23">
        <f>(Table1[[#This Row],[Profit (PKR)]]/Table1[[#This Row],[Total Revenue (PKR)]])</f>
        <v>0.375</v>
      </c>
      <c r="O124" s="2">
        <v>1500</v>
      </c>
      <c r="P124" s="2">
        <v>7500</v>
      </c>
      <c r="Q124" s="2">
        <v>4500</v>
      </c>
      <c r="R124" s="2" t="s">
        <v>22</v>
      </c>
      <c r="S124" s="2" t="str">
        <f>IF(AND(Table1[[#This Row],[Total Revenue (PKR)]]&gt;50000, Table1[[#This Row],[Discount %]]&lt;10),"High Value","Standard")</f>
        <v>Standard</v>
      </c>
      <c r="T124" s="2" t="s">
        <v>55</v>
      </c>
      <c r="U124" s="6" t="s">
        <v>86</v>
      </c>
      <c r="V124" s="19" t="s">
        <v>136</v>
      </c>
    </row>
    <row r="125" spans="1:22" x14ac:dyDescent="0.25">
      <c r="A125" s="5" t="s">
        <v>302</v>
      </c>
      <c r="B125" s="16">
        <f>DATEVALUE(Table1[[#This Row],[Date2]])</f>
        <v>45366</v>
      </c>
      <c r="C125" s="3" t="str">
        <f>TEXT(Table1[[#This Row],[Date]],"MMM")</f>
        <v>Mar</v>
      </c>
      <c r="D125" s="3" t="str">
        <f>"Q"&amp;ROUNDUP(MONTH(Table1[[#This Row],[Date]])/3,0)</f>
        <v>Q1</v>
      </c>
      <c r="E125" s="3">
        <f>YEAR(Table1[[#This Row],[Date]])</f>
        <v>2024</v>
      </c>
      <c r="F125" s="3" t="s">
        <v>92</v>
      </c>
      <c r="G125" s="3" t="s">
        <v>48</v>
      </c>
      <c r="H125" s="3" t="s">
        <v>34</v>
      </c>
      <c r="I125" s="3" t="s">
        <v>196</v>
      </c>
      <c r="J125" s="3">
        <v>1</v>
      </c>
      <c r="K125" s="3">
        <v>2500</v>
      </c>
      <c r="L125" s="3">
        <v>5</v>
      </c>
      <c r="M125" s="3">
        <v>2375</v>
      </c>
      <c r="N125" s="24">
        <f>(Table1[[#This Row],[Profit (PKR)]]/Table1[[#This Row],[Total Revenue (PKR)]])</f>
        <v>0.49473684210526314</v>
      </c>
      <c r="O125" s="3">
        <v>1200</v>
      </c>
      <c r="P125" s="3">
        <v>1200</v>
      </c>
      <c r="Q125" s="3">
        <v>1175</v>
      </c>
      <c r="R125" s="3" t="s">
        <v>22</v>
      </c>
      <c r="S125" s="3" t="str">
        <f>IF(AND(Table1[[#This Row],[Total Revenue (PKR)]]&gt;50000, Table1[[#This Row],[Discount %]]&lt;10),"High Value","Standard")</f>
        <v>Standard</v>
      </c>
      <c r="T125" s="3" t="s">
        <v>55</v>
      </c>
      <c r="U125" s="7" t="s">
        <v>86</v>
      </c>
      <c r="V125" s="20" t="s">
        <v>303</v>
      </c>
    </row>
    <row r="126" spans="1:22" x14ac:dyDescent="0.25">
      <c r="A126" s="4" t="s">
        <v>304</v>
      </c>
      <c r="B126" s="15">
        <f>DATEVALUE(Table1[[#This Row],[Date2]])</f>
        <v>45413</v>
      </c>
      <c r="C126" s="2" t="str">
        <f>TEXT(Table1[[#This Row],[Date]],"MMM")</f>
        <v>May</v>
      </c>
      <c r="D126" s="2" t="str">
        <f>"Q"&amp;ROUNDUP(MONTH(Table1[[#This Row],[Date]])/3,0)</f>
        <v>Q2</v>
      </c>
      <c r="E126" s="2">
        <f>YEAR(Table1[[#This Row],[Date]])</f>
        <v>2024</v>
      </c>
      <c r="F126" s="2" t="s">
        <v>47</v>
      </c>
      <c r="G126" s="2" t="s">
        <v>52</v>
      </c>
      <c r="H126" s="2" t="s">
        <v>28</v>
      </c>
      <c r="I126" s="2" t="s">
        <v>116</v>
      </c>
      <c r="J126" s="2">
        <v>9</v>
      </c>
      <c r="K126" s="2">
        <v>85000</v>
      </c>
      <c r="L126" s="2">
        <v>0</v>
      </c>
      <c r="M126" s="2">
        <v>765000</v>
      </c>
      <c r="N126" s="23">
        <f>(Table1[[#This Row],[Profit (PKR)]]/Table1[[#This Row],[Total Revenue (PKR)]])</f>
        <v>0.23529411764705882</v>
      </c>
      <c r="O126" s="2">
        <v>65000</v>
      </c>
      <c r="P126" s="2">
        <v>585000</v>
      </c>
      <c r="Q126" s="2">
        <v>180000</v>
      </c>
      <c r="R126" s="2" t="s">
        <v>22</v>
      </c>
      <c r="S126" s="2" t="str">
        <f>IF(AND(Table1[[#This Row],[Total Revenue (PKR)]]&gt;50000, Table1[[#This Row],[Discount %]]&lt;10),"High Value","Standard")</f>
        <v>High Value</v>
      </c>
      <c r="T126" s="2" t="s">
        <v>23</v>
      </c>
      <c r="U126" s="6" t="s">
        <v>44</v>
      </c>
      <c r="V126" s="19" t="s">
        <v>148</v>
      </c>
    </row>
    <row r="127" spans="1:22" x14ac:dyDescent="0.25">
      <c r="A127" s="5" t="s">
        <v>305</v>
      </c>
      <c r="B127" s="16">
        <f>DATEVALUE(Table1[[#This Row],[Date2]])</f>
        <v>45350</v>
      </c>
      <c r="C127" s="3" t="str">
        <f>TEXT(Table1[[#This Row],[Date]],"MMM")</f>
        <v>Feb</v>
      </c>
      <c r="D127" s="3" t="str">
        <f>"Q"&amp;ROUNDUP(MONTH(Table1[[#This Row],[Date]])/3,0)</f>
        <v>Q1</v>
      </c>
      <c r="E127" s="3">
        <f>YEAR(Table1[[#This Row],[Date]])</f>
        <v>2024</v>
      </c>
      <c r="F127" s="3" t="s">
        <v>18</v>
      </c>
      <c r="G127" s="3" t="s">
        <v>74</v>
      </c>
      <c r="H127" s="3" t="s">
        <v>93</v>
      </c>
      <c r="I127" s="3" t="s">
        <v>98</v>
      </c>
      <c r="J127" s="3">
        <v>17</v>
      </c>
      <c r="K127" s="3">
        <v>400</v>
      </c>
      <c r="L127" s="3">
        <v>20</v>
      </c>
      <c r="M127" s="3">
        <v>5440</v>
      </c>
      <c r="N127" s="24">
        <f>(Table1[[#This Row],[Profit (PKR)]]/Table1[[#This Row],[Total Revenue (PKR)]])</f>
        <v>0.125</v>
      </c>
      <c r="O127" s="3">
        <v>280</v>
      </c>
      <c r="P127" s="3">
        <v>4760</v>
      </c>
      <c r="Q127" s="3">
        <v>680</v>
      </c>
      <c r="R127" s="3" t="s">
        <v>22</v>
      </c>
      <c r="S127" s="3" t="str">
        <f>IF(AND(Table1[[#This Row],[Total Revenue (PKR)]]&gt;50000, Table1[[#This Row],[Discount %]]&lt;10),"High Value","Standard")</f>
        <v>Standard</v>
      </c>
      <c r="T127" s="3" t="s">
        <v>66</v>
      </c>
      <c r="U127" s="7" t="s">
        <v>44</v>
      </c>
      <c r="V127" s="20" t="s">
        <v>306</v>
      </c>
    </row>
    <row r="128" spans="1:22" x14ac:dyDescent="0.25">
      <c r="A128" s="4" t="s">
        <v>307</v>
      </c>
      <c r="B128" s="15">
        <f>DATEVALUE(Table1[[#This Row],[Date2]])</f>
        <v>45606</v>
      </c>
      <c r="C128" s="2" t="str">
        <f>TEXT(Table1[[#This Row],[Date]],"MMM")</f>
        <v>Nov</v>
      </c>
      <c r="D128" s="2" t="str">
        <f>"Q"&amp;ROUNDUP(MONTH(Table1[[#This Row],[Date]])/3,0)</f>
        <v>Q4</v>
      </c>
      <c r="E128" s="2">
        <f>YEAR(Table1[[#This Row],[Date]])</f>
        <v>2024</v>
      </c>
      <c r="F128" s="2" t="s">
        <v>104</v>
      </c>
      <c r="G128" s="2" t="s">
        <v>48</v>
      </c>
      <c r="H128" s="2" t="s">
        <v>93</v>
      </c>
      <c r="I128" s="2" t="s">
        <v>119</v>
      </c>
      <c r="J128" s="2">
        <v>2</v>
      </c>
      <c r="K128" s="2">
        <v>800</v>
      </c>
      <c r="L128" s="2">
        <v>15</v>
      </c>
      <c r="M128" s="2">
        <v>1360</v>
      </c>
      <c r="N128" s="23">
        <f>(Table1[[#This Row],[Profit (PKR)]]/Table1[[#This Row],[Total Revenue (PKR)]])</f>
        <v>0.11764705882352941</v>
      </c>
      <c r="O128" s="2">
        <v>600</v>
      </c>
      <c r="P128" s="2">
        <v>1200</v>
      </c>
      <c r="Q128" s="2">
        <v>160</v>
      </c>
      <c r="R128" s="2" t="s">
        <v>42</v>
      </c>
      <c r="S128" s="2" t="str">
        <f>IF(AND(Table1[[#This Row],[Total Revenue (PKR)]]&gt;50000, Table1[[#This Row],[Discount %]]&lt;10),"High Value","Standard")</f>
        <v>Standard</v>
      </c>
      <c r="T128" s="2" t="s">
        <v>66</v>
      </c>
      <c r="U128" s="6" t="s">
        <v>24</v>
      </c>
      <c r="V128" s="19" t="s">
        <v>308</v>
      </c>
    </row>
    <row r="129" spans="1:22" x14ac:dyDescent="0.25">
      <c r="A129" s="5" t="s">
        <v>309</v>
      </c>
      <c r="B129" s="16">
        <f>DATEVALUE(Table1[[#This Row],[Date2]])</f>
        <v>45543</v>
      </c>
      <c r="C129" s="3" t="str">
        <f>TEXT(Table1[[#This Row],[Date]],"MMM")</f>
        <v>Sep</v>
      </c>
      <c r="D129" s="3" t="str">
        <f>"Q"&amp;ROUNDUP(MONTH(Table1[[#This Row],[Date]])/3,0)</f>
        <v>Q3</v>
      </c>
      <c r="E129" s="3">
        <f>YEAR(Table1[[#This Row],[Date]])</f>
        <v>2024</v>
      </c>
      <c r="F129" s="3" t="s">
        <v>122</v>
      </c>
      <c r="G129" s="3" t="s">
        <v>159</v>
      </c>
      <c r="H129" s="3" t="s">
        <v>28</v>
      </c>
      <c r="I129" s="3" t="s">
        <v>274</v>
      </c>
      <c r="J129" s="3">
        <v>20</v>
      </c>
      <c r="K129" s="3">
        <v>35000</v>
      </c>
      <c r="L129" s="3">
        <v>5</v>
      </c>
      <c r="M129" s="3">
        <v>665000</v>
      </c>
      <c r="N129" s="24">
        <f>(Table1[[#This Row],[Profit (PKR)]]/Table1[[#This Row],[Total Revenue (PKR)]])</f>
        <v>0.21804511278195488</v>
      </c>
      <c r="O129" s="3">
        <v>26000</v>
      </c>
      <c r="P129" s="3">
        <v>520000</v>
      </c>
      <c r="Q129" s="3">
        <v>145000</v>
      </c>
      <c r="R129" s="3" t="s">
        <v>22</v>
      </c>
      <c r="S129" s="3" t="str">
        <f>IF(AND(Table1[[#This Row],[Total Revenue (PKR)]]&gt;50000, Table1[[#This Row],[Discount %]]&lt;10),"High Value","Standard")</f>
        <v>High Value</v>
      </c>
      <c r="T129" s="3" t="s">
        <v>36</v>
      </c>
      <c r="U129" s="7" t="s">
        <v>44</v>
      </c>
      <c r="V129" s="20" t="s">
        <v>245</v>
      </c>
    </row>
    <row r="130" spans="1:22" x14ac:dyDescent="0.25">
      <c r="A130" s="4" t="s">
        <v>310</v>
      </c>
      <c r="B130" s="15">
        <f>DATEVALUE(Table1[[#This Row],[Date2]])</f>
        <v>45616</v>
      </c>
      <c r="C130" s="2" t="str">
        <f>TEXT(Table1[[#This Row],[Date]],"MMM")</f>
        <v>Nov</v>
      </c>
      <c r="D130" s="2" t="str">
        <f>"Q"&amp;ROUNDUP(MONTH(Table1[[#This Row],[Date]])/3,0)</f>
        <v>Q4</v>
      </c>
      <c r="E130" s="2">
        <f>YEAR(Table1[[#This Row],[Date]])</f>
        <v>2024</v>
      </c>
      <c r="F130" s="2" t="s">
        <v>47</v>
      </c>
      <c r="G130" s="2" t="s">
        <v>52</v>
      </c>
      <c r="H130" s="2" t="s">
        <v>93</v>
      </c>
      <c r="I130" s="2" t="s">
        <v>94</v>
      </c>
      <c r="J130" s="2">
        <v>17</v>
      </c>
      <c r="K130" s="2">
        <v>1200</v>
      </c>
      <c r="L130" s="2">
        <v>10</v>
      </c>
      <c r="M130" s="2">
        <v>18360</v>
      </c>
      <c r="N130" s="23">
        <f>(Table1[[#This Row],[Profit (PKR)]]/Table1[[#This Row],[Total Revenue (PKR)]])</f>
        <v>0.16666666666666666</v>
      </c>
      <c r="O130" s="2">
        <v>900</v>
      </c>
      <c r="P130" s="2">
        <v>15300</v>
      </c>
      <c r="Q130" s="2">
        <v>3060</v>
      </c>
      <c r="R130" s="2" t="s">
        <v>42</v>
      </c>
      <c r="S130" s="2" t="str">
        <f>IF(AND(Table1[[#This Row],[Total Revenue (PKR)]]&gt;50000, Table1[[#This Row],[Discount %]]&lt;10),"High Value","Standard")</f>
        <v>Standard</v>
      </c>
      <c r="T130" s="2" t="s">
        <v>30</v>
      </c>
      <c r="U130" s="6" t="s">
        <v>24</v>
      </c>
      <c r="V130" s="19" t="s">
        <v>311</v>
      </c>
    </row>
    <row r="131" spans="1:22" x14ac:dyDescent="0.25">
      <c r="A131" s="5" t="s">
        <v>312</v>
      </c>
      <c r="B131" s="16">
        <f>DATEVALUE(Table1[[#This Row],[Date2]])</f>
        <v>45342</v>
      </c>
      <c r="C131" s="3" t="str">
        <f>TEXT(Table1[[#This Row],[Date]],"MMM")</f>
        <v>Feb</v>
      </c>
      <c r="D131" s="3" t="str">
        <f>"Q"&amp;ROUNDUP(MONTH(Table1[[#This Row],[Date]])/3,0)</f>
        <v>Q1</v>
      </c>
      <c r="E131" s="3">
        <f>YEAR(Table1[[#This Row],[Date]])</f>
        <v>2024</v>
      </c>
      <c r="F131" s="3" t="s">
        <v>18</v>
      </c>
      <c r="G131" s="3" t="s">
        <v>64</v>
      </c>
      <c r="H131" s="3" t="s">
        <v>93</v>
      </c>
      <c r="I131" s="3" t="s">
        <v>109</v>
      </c>
      <c r="J131" s="3">
        <v>8</v>
      </c>
      <c r="K131" s="3">
        <v>700</v>
      </c>
      <c r="L131" s="3">
        <v>15</v>
      </c>
      <c r="M131" s="3">
        <v>4760</v>
      </c>
      <c r="N131" s="24">
        <f>(Table1[[#This Row],[Profit (PKR)]]/Table1[[#This Row],[Total Revenue (PKR)]])</f>
        <v>0.15966386554621848</v>
      </c>
      <c r="O131" s="3">
        <v>500</v>
      </c>
      <c r="P131" s="3">
        <v>4000</v>
      </c>
      <c r="Q131" s="3">
        <v>760</v>
      </c>
      <c r="R131" s="3" t="s">
        <v>42</v>
      </c>
      <c r="S131" s="3" t="str">
        <f>IF(AND(Table1[[#This Row],[Total Revenue (PKR)]]&gt;50000, Table1[[#This Row],[Discount %]]&lt;10),"High Value","Standard")</f>
        <v>Standard</v>
      </c>
      <c r="T131" s="3" t="s">
        <v>66</v>
      </c>
      <c r="U131" s="7" t="s">
        <v>44</v>
      </c>
      <c r="V131" s="20" t="s">
        <v>313</v>
      </c>
    </row>
    <row r="132" spans="1:22" x14ac:dyDescent="0.25">
      <c r="A132" s="4" t="s">
        <v>314</v>
      </c>
      <c r="B132" s="15">
        <f>DATEVALUE(Table1[[#This Row],[Date2]])</f>
        <v>45340</v>
      </c>
      <c r="C132" s="2" t="str">
        <f>TEXT(Table1[[#This Row],[Date]],"MMM")</f>
        <v>Feb</v>
      </c>
      <c r="D132" s="2" t="str">
        <f>"Q"&amp;ROUNDUP(MONTH(Table1[[#This Row],[Date]])/3,0)</f>
        <v>Q1</v>
      </c>
      <c r="E132" s="2">
        <f>YEAR(Table1[[#This Row],[Date]])</f>
        <v>2024</v>
      </c>
      <c r="F132" s="2" t="s">
        <v>100</v>
      </c>
      <c r="G132" s="2" t="s">
        <v>27</v>
      </c>
      <c r="H132" s="2" t="s">
        <v>20</v>
      </c>
      <c r="I132" s="2" t="s">
        <v>182</v>
      </c>
      <c r="J132" s="2">
        <v>12</v>
      </c>
      <c r="K132" s="2">
        <v>5000</v>
      </c>
      <c r="L132" s="2">
        <v>5</v>
      </c>
      <c r="M132" s="2">
        <v>57000</v>
      </c>
      <c r="N132" s="23">
        <f>(Table1[[#This Row],[Profit (PKR)]]/Table1[[#This Row],[Total Revenue (PKR)]])</f>
        <v>0.36842105263157893</v>
      </c>
      <c r="O132" s="2">
        <v>3000</v>
      </c>
      <c r="P132" s="2">
        <v>36000</v>
      </c>
      <c r="Q132" s="2">
        <v>21000</v>
      </c>
      <c r="R132" s="2" t="s">
        <v>42</v>
      </c>
      <c r="S132" s="2" t="str">
        <f>IF(AND(Table1[[#This Row],[Total Revenue (PKR)]]&gt;50000, Table1[[#This Row],[Discount %]]&lt;10),"High Value","Standard")</f>
        <v>High Value</v>
      </c>
      <c r="T132" s="2" t="s">
        <v>43</v>
      </c>
      <c r="U132" s="6" t="s">
        <v>44</v>
      </c>
      <c r="V132" s="19" t="s">
        <v>315</v>
      </c>
    </row>
    <row r="133" spans="1:22" x14ac:dyDescent="0.25">
      <c r="A133" s="5" t="s">
        <v>316</v>
      </c>
      <c r="B133" s="16">
        <f>DATEVALUE(Table1[[#This Row],[Date2]])</f>
        <v>45335</v>
      </c>
      <c r="C133" s="3" t="str">
        <f>TEXT(Table1[[#This Row],[Date]],"MMM")</f>
        <v>Feb</v>
      </c>
      <c r="D133" s="3" t="str">
        <f>"Q"&amp;ROUNDUP(MONTH(Table1[[#This Row],[Date]])/3,0)</f>
        <v>Q1</v>
      </c>
      <c r="E133" s="3">
        <f>YEAR(Table1[[#This Row],[Date]])</f>
        <v>2024</v>
      </c>
      <c r="F133" s="3" t="s">
        <v>18</v>
      </c>
      <c r="G133" s="3" t="s">
        <v>27</v>
      </c>
      <c r="H133" s="3" t="s">
        <v>28</v>
      </c>
      <c r="I133" s="3" t="s">
        <v>274</v>
      </c>
      <c r="J133" s="3">
        <v>5</v>
      </c>
      <c r="K133" s="3">
        <v>35000</v>
      </c>
      <c r="L133" s="3">
        <v>20</v>
      </c>
      <c r="M133" s="3">
        <v>140000</v>
      </c>
      <c r="N133" s="24">
        <f>(Table1[[#This Row],[Profit (PKR)]]/Table1[[#This Row],[Total Revenue (PKR)]])</f>
        <v>7.1428571428571425E-2</v>
      </c>
      <c r="O133" s="3">
        <v>26000</v>
      </c>
      <c r="P133" s="3">
        <v>130000</v>
      </c>
      <c r="Q133" s="3">
        <v>10000</v>
      </c>
      <c r="R133" s="3" t="s">
        <v>22</v>
      </c>
      <c r="S133" s="3" t="str">
        <f>IF(AND(Table1[[#This Row],[Total Revenue (PKR)]]&gt;50000, Table1[[#This Row],[Discount %]]&lt;10),"High Value","Standard")</f>
        <v>Standard</v>
      </c>
      <c r="T133" s="3" t="s">
        <v>30</v>
      </c>
      <c r="U133" s="7" t="s">
        <v>95</v>
      </c>
      <c r="V133" s="20" t="s">
        <v>317</v>
      </c>
    </row>
    <row r="134" spans="1:22" x14ac:dyDescent="0.25">
      <c r="A134" s="4" t="s">
        <v>318</v>
      </c>
      <c r="B134" s="15">
        <f>DATEVALUE(Table1[[#This Row],[Date2]])</f>
        <v>45579</v>
      </c>
      <c r="C134" s="2" t="str">
        <f>TEXT(Table1[[#This Row],[Date]],"MMM")</f>
        <v>Oct</v>
      </c>
      <c r="D134" s="2" t="str">
        <f>"Q"&amp;ROUNDUP(MONTH(Table1[[#This Row],[Date]])/3,0)</f>
        <v>Q4</v>
      </c>
      <c r="E134" s="2">
        <f>YEAR(Table1[[#This Row],[Date]])</f>
        <v>2024</v>
      </c>
      <c r="F134" s="2" t="s">
        <v>100</v>
      </c>
      <c r="G134" s="2" t="s">
        <v>159</v>
      </c>
      <c r="H134" s="2" t="s">
        <v>93</v>
      </c>
      <c r="I134" s="2" t="s">
        <v>98</v>
      </c>
      <c r="J134" s="2">
        <v>14</v>
      </c>
      <c r="K134" s="2">
        <v>400</v>
      </c>
      <c r="L134" s="2">
        <v>25</v>
      </c>
      <c r="M134" s="2">
        <v>4200</v>
      </c>
      <c r="N134" s="23">
        <f>(Table1[[#This Row],[Profit (PKR)]]/Table1[[#This Row],[Total Revenue (PKR)]])</f>
        <v>6.6666666666666666E-2</v>
      </c>
      <c r="O134" s="2">
        <v>280</v>
      </c>
      <c r="P134" s="2">
        <v>3920</v>
      </c>
      <c r="Q134" s="2">
        <v>280</v>
      </c>
      <c r="R134" s="2" t="s">
        <v>22</v>
      </c>
      <c r="S134" s="2" t="str">
        <f>IF(AND(Table1[[#This Row],[Total Revenue (PKR)]]&gt;50000, Table1[[#This Row],[Discount %]]&lt;10),"High Value","Standard")</f>
        <v>Standard</v>
      </c>
      <c r="T134" s="2" t="s">
        <v>55</v>
      </c>
      <c r="U134" s="6" t="s">
        <v>24</v>
      </c>
      <c r="V134" s="19" t="s">
        <v>32</v>
      </c>
    </row>
    <row r="135" spans="1:22" x14ac:dyDescent="0.25">
      <c r="A135" s="5" t="s">
        <v>319</v>
      </c>
      <c r="B135" s="16">
        <f>DATEVALUE(Table1[[#This Row],[Date2]])</f>
        <v>45472</v>
      </c>
      <c r="C135" s="3" t="str">
        <f>TEXT(Table1[[#This Row],[Date]],"MMM")</f>
        <v>Jun</v>
      </c>
      <c r="D135" s="3" t="str">
        <f>"Q"&amp;ROUNDUP(MONTH(Table1[[#This Row],[Date]])/3,0)</f>
        <v>Q2</v>
      </c>
      <c r="E135" s="3">
        <f>YEAR(Table1[[#This Row],[Date]])</f>
        <v>2024</v>
      </c>
      <c r="F135" s="3" t="s">
        <v>18</v>
      </c>
      <c r="G135" s="3" t="s">
        <v>64</v>
      </c>
      <c r="H135" s="3" t="s">
        <v>34</v>
      </c>
      <c r="I135" s="3" t="s">
        <v>35</v>
      </c>
      <c r="J135" s="3">
        <v>8</v>
      </c>
      <c r="K135" s="3">
        <v>6000</v>
      </c>
      <c r="L135" s="3">
        <v>0</v>
      </c>
      <c r="M135" s="3">
        <v>48000</v>
      </c>
      <c r="N135" s="24">
        <f>(Table1[[#This Row],[Profit (PKR)]]/Table1[[#This Row],[Total Revenue (PKR)]])</f>
        <v>0.41666666666666669</v>
      </c>
      <c r="O135" s="3">
        <v>3500</v>
      </c>
      <c r="P135" s="3">
        <v>28000</v>
      </c>
      <c r="Q135" s="3">
        <v>20000</v>
      </c>
      <c r="R135" s="3" t="s">
        <v>42</v>
      </c>
      <c r="S135" s="3" t="str">
        <f>IF(AND(Table1[[#This Row],[Total Revenue (PKR)]]&gt;50000, Table1[[#This Row],[Discount %]]&lt;10),"High Value","Standard")</f>
        <v>Standard</v>
      </c>
      <c r="T135" s="3" t="s">
        <v>30</v>
      </c>
      <c r="U135" s="7" t="s">
        <v>44</v>
      </c>
      <c r="V135" s="20" t="s">
        <v>219</v>
      </c>
    </row>
    <row r="136" spans="1:22" x14ac:dyDescent="0.25">
      <c r="A136" s="4" t="s">
        <v>320</v>
      </c>
      <c r="B136" s="15">
        <f>DATEVALUE(Table1[[#This Row],[Date2]])</f>
        <v>45434</v>
      </c>
      <c r="C136" s="2" t="str">
        <f>TEXT(Table1[[#This Row],[Date]],"MMM")</f>
        <v>May</v>
      </c>
      <c r="D136" s="2" t="str">
        <f>"Q"&amp;ROUNDUP(MONTH(Table1[[#This Row],[Date]])/3,0)</f>
        <v>Q2</v>
      </c>
      <c r="E136" s="2">
        <f>YEAR(Table1[[#This Row],[Date]])</f>
        <v>2024</v>
      </c>
      <c r="F136" s="2" t="s">
        <v>47</v>
      </c>
      <c r="G136" s="2" t="s">
        <v>64</v>
      </c>
      <c r="H136" s="2" t="s">
        <v>93</v>
      </c>
      <c r="I136" s="2" t="s">
        <v>94</v>
      </c>
      <c r="J136" s="2">
        <v>20</v>
      </c>
      <c r="K136" s="2">
        <v>1200</v>
      </c>
      <c r="L136" s="2">
        <v>20</v>
      </c>
      <c r="M136" s="2">
        <v>19200</v>
      </c>
      <c r="N136" s="23">
        <f>(Table1[[#This Row],[Profit (PKR)]]/Table1[[#This Row],[Total Revenue (PKR)]])</f>
        <v>6.25E-2</v>
      </c>
      <c r="O136" s="2">
        <v>900</v>
      </c>
      <c r="P136" s="2">
        <v>18000</v>
      </c>
      <c r="Q136" s="2">
        <v>1200</v>
      </c>
      <c r="R136" s="2" t="s">
        <v>22</v>
      </c>
      <c r="S136" s="2" t="str">
        <f>IF(AND(Table1[[#This Row],[Total Revenue (PKR)]]&gt;50000, Table1[[#This Row],[Discount %]]&lt;10),"High Value","Standard")</f>
        <v>Standard</v>
      </c>
      <c r="T136" s="2" t="s">
        <v>30</v>
      </c>
      <c r="U136" s="6" t="s">
        <v>95</v>
      </c>
      <c r="V136" s="19" t="s">
        <v>321</v>
      </c>
    </row>
    <row r="137" spans="1:22" x14ac:dyDescent="0.25">
      <c r="A137" s="5" t="s">
        <v>322</v>
      </c>
      <c r="B137" s="16">
        <f>DATEVALUE(Table1[[#This Row],[Date2]])</f>
        <v>45647</v>
      </c>
      <c r="C137" s="3" t="str">
        <f>TEXT(Table1[[#This Row],[Date]],"MMM")</f>
        <v>Dec</v>
      </c>
      <c r="D137" s="3" t="str">
        <f>"Q"&amp;ROUNDUP(MONTH(Table1[[#This Row],[Date]])/3,0)</f>
        <v>Q4</v>
      </c>
      <c r="E137" s="3">
        <f>YEAR(Table1[[#This Row],[Date]])</f>
        <v>2024</v>
      </c>
      <c r="F137" s="3" t="s">
        <v>39</v>
      </c>
      <c r="G137" s="3" t="s">
        <v>19</v>
      </c>
      <c r="H137" s="3" t="s">
        <v>34</v>
      </c>
      <c r="I137" s="3" t="s">
        <v>41</v>
      </c>
      <c r="J137" s="3">
        <v>10</v>
      </c>
      <c r="K137" s="3">
        <v>3000</v>
      </c>
      <c r="L137" s="3">
        <v>10</v>
      </c>
      <c r="M137" s="3">
        <v>27000</v>
      </c>
      <c r="N137" s="24">
        <f>(Table1[[#This Row],[Profit (PKR)]]/Table1[[#This Row],[Total Revenue (PKR)]])</f>
        <v>0.44444444444444442</v>
      </c>
      <c r="O137" s="3">
        <v>1500</v>
      </c>
      <c r="P137" s="3">
        <v>15000</v>
      </c>
      <c r="Q137" s="3">
        <v>12000</v>
      </c>
      <c r="R137" s="3" t="s">
        <v>42</v>
      </c>
      <c r="S137" s="3" t="str">
        <f>IF(AND(Table1[[#This Row],[Total Revenue (PKR)]]&gt;50000, Table1[[#This Row],[Discount %]]&lt;10),"High Value","Standard")</f>
        <v>Standard</v>
      </c>
      <c r="T137" s="3" t="s">
        <v>43</v>
      </c>
      <c r="U137" s="7" t="s">
        <v>44</v>
      </c>
      <c r="V137" s="20" t="s">
        <v>184</v>
      </c>
    </row>
    <row r="138" spans="1:22" x14ac:dyDescent="0.25">
      <c r="A138" s="4" t="s">
        <v>323</v>
      </c>
      <c r="B138" s="15">
        <f>DATEVALUE(Table1[[#This Row],[Date2]])</f>
        <v>45365</v>
      </c>
      <c r="C138" s="2" t="str">
        <f>TEXT(Table1[[#This Row],[Date]],"MMM")</f>
        <v>Mar</v>
      </c>
      <c r="D138" s="2" t="str">
        <f>"Q"&amp;ROUNDUP(MONTH(Table1[[#This Row],[Date]])/3,0)</f>
        <v>Q1</v>
      </c>
      <c r="E138" s="2">
        <f>YEAR(Table1[[#This Row],[Date]])</f>
        <v>2024</v>
      </c>
      <c r="F138" s="2" t="s">
        <v>47</v>
      </c>
      <c r="G138" s="2" t="s">
        <v>27</v>
      </c>
      <c r="H138" s="2" t="s">
        <v>28</v>
      </c>
      <c r="I138" s="2" t="s">
        <v>116</v>
      </c>
      <c r="J138" s="2">
        <v>1</v>
      </c>
      <c r="K138" s="2">
        <v>85000</v>
      </c>
      <c r="L138" s="2">
        <v>0</v>
      </c>
      <c r="M138" s="2">
        <v>85000</v>
      </c>
      <c r="N138" s="23">
        <f>(Table1[[#This Row],[Profit (PKR)]]/Table1[[#This Row],[Total Revenue (PKR)]])</f>
        <v>0.23529411764705882</v>
      </c>
      <c r="O138" s="2">
        <v>65000</v>
      </c>
      <c r="P138" s="2">
        <v>65000</v>
      </c>
      <c r="Q138" s="2">
        <v>20000</v>
      </c>
      <c r="R138" s="2" t="s">
        <v>22</v>
      </c>
      <c r="S138" s="2" t="str">
        <f>IF(AND(Table1[[#This Row],[Total Revenue (PKR)]]&gt;50000, Table1[[#This Row],[Discount %]]&lt;10),"High Value","Standard")</f>
        <v>High Value</v>
      </c>
      <c r="T138" s="2" t="s">
        <v>66</v>
      </c>
      <c r="U138" s="6" t="s">
        <v>44</v>
      </c>
      <c r="V138" s="19" t="s">
        <v>324</v>
      </c>
    </row>
    <row r="139" spans="1:22" x14ac:dyDescent="0.25">
      <c r="A139" s="5" t="s">
        <v>325</v>
      </c>
      <c r="B139" s="16">
        <f>DATEVALUE(Table1[[#This Row],[Date2]])</f>
        <v>45466</v>
      </c>
      <c r="C139" s="3" t="str">
        <f>TEXT(Table1[[#This Row],[Date]],"MMM")</f>
        <v>Jun</v>
      </c>
      <c r="D139" s="3" t="str">
        <f>"Q"&amp;ROUNDUP(MONTH(Table1[[#This Row],[Date]])/3,0)</f>
        <v>Q2</v>
      </c>
      <c r="E139" s="3">
        <f>YEAR(Table1[[#This Row],[Date]])</f>
        <v>2024</v>
      </c>
      <c r="F139" s="3" t="s">
        <v>92</v>
      </c>
      <c r="G139" s="3" t="s">
        <v>52</v>
      </c>
      <c r="H139" s="3" t="s">
        <v>20</v>
      </c>
      <c r="I139" s="3" t="s">
        <v>182</v>
      </c>
      <c r="J139" s="3">
        <v>19</v>
      </c>
      <c r="K139" s="3">
        <v>5000</v>
      </c>
      <c r="L139" s="3">
        <v>20</v>
      </c>
      <c r="M139" s="3">
        <v>76000</v>
      </c>
      <c r="N139" s="24">
        <f>(Table1[[#This Row],[Profit (PKR)]]/Table1[[#This Row],[Total Revenue (PKR)]])</f>
        <v>0.25</v>
      </c>
      <c r="O139" s="3">
        <v>3000</v>
      </c>
      <c r="P139" s="3">
        <v>57000</v>
      </c>
      <c r="Q139" s="3">
        <v>19000</v>
      </c>
      <c r="R139" s="3" t="s">
        <v>22</v>
      </c>
      <c r="S139" s="3" t="str">
        <f>IF(AND(Table1[[#This Row],[Total Revenue (PKR)]]&gt;50000, Table1[[#This Row],[Discount %]]&lt;10),"High Value","Standard")</f>
        <v>Standard</v>
      </c>
      <c r="T139" s="3" t="s">
        <v>43</v>
      </c>
      <c r="U139" s="7" t="s">
        <v>44</v>
      </c>
      <c r="V139" s="20" t="s">
        <v>38</v>
      </c>
    </row>
    <row r="140" spans="1:22" x14ac:dyDescent="0.25">
      <c r="A140" s="4" t="s">
        <v>326</v>
      </c>
      <c r="B140" s="15">
        <f>DATEVALUE(Table1[[#This Row],[Date2]])</f>
        <v>45608</v>
      </c>
      <c r="C140" s="2" t="str">
        <f>TEXT(Table1[[#This Row],[Date]],"MMM")</f>
        <v>Nov</v>
      </c>
      <c r="D140" s="2" t="str">
        <f>"Q"&amp;ROUNDUP(MONTH(Table1[[#This Row],[Date]])/3,0)</f>
        <v>Q4</v>
      </c>
      <c r="E140" s="2">
        <f>YEAR(Table1[[#This Row],[Date]])</f>
        <v>2024</v>
      </c>
      <c r="F140" s="2" t="s">
        <v>104</v>
      </c>
      <c r="G140" s="2" t="s">
        <v>159</v>
      </c>
      <c r="H140" s="2" t="s">
        <v>20</v>
      </c>
      <c r="I140" s="2" t="s">
        <v>59</v>
      </c>
      <c r="J140" s="2">
        <v>14</v>
      </c>
      <c r="K140" s="2">
        <v>12000</v>
      </c>
      <c r="L140" s="2">
        <v>15</v>
      </c>
      <c r="M140" s="2">
        <v>142800</v>
      </c>
      <c r="N140" s="23">
        <f>(Table1[[#This Row],[Profit (PKR)]]/Table1[[#This Row],[Total Revenue (PKR)]])</f>
        <v>0.21568627450980393</v>
      </c>
      <c r="O140" s="2">
        <v>8000</v>
      </c>
      <c r="P140" s="2">
        <v>112000</v>
      </c>
      <c r="Q140" s="2">
        <v>30800</v>
      </c>
      <c r="R140" s="2" t="s">
        <v>42</v>
      </c>
      <c r="S140" s="2" t="str">
        <f>IF(AND(Table1[[#This Row],[Total Revenue (PKR)]]&gt;50000, Table1[[#This Row],[Discount %]]&lt;10),"High Value","Standard")</f>
        <v>Standard</v>
      </c>
      <c r="T140" s="2" t="s">
        <v>66</v>
      </c>
      <c r="U140" s="6" t="s">
        <v>44</v>
      </c>
      <c r="V140" s="19" t="s">
        <v>327</v>
      </c>
    </row>
    <row r="141" spans="1:22" x14ac:dyDescent="0.25">
      <c r="A141" s="5" t="s">
        <v>328</v>
      </c>
      <c r="B141" s="16">
        <f>DATEVALUE(Table1[[#This Row],[Date2]])</f>
        <v>45554</v>
      </c>
      <c r="C141" s="3" t="str">
        <f>TEXT(Table1[[#This Row],[Date]],"MMM")</f>
        <v>Sep</v>
      </c>
      <c r="D141" s="3" t="str">
        <f>"Q"&amp;ROUNDUP(MONTH(Table1[[#This Row],[Date]])/3,0)</f>
        <v>Q3</v>
      </c>
      <c r="E141" s="3">
        <f>YEAR(Table1[[#This Row],[Date]])</f>
        <v>2024</v>
      </c>
      <c r="F141" s="3" t="s">
        <v>18</v>
      </c>
      <c r="G141" s="3" t="s">
        <v>52</v>
      </c>
      <c r="H141" s="3" t="s">
        <v>93</v>
      </c>
      <c r="I141" s="3" t="s">
        <v>119</v>
      </c>
      <c r="J141" s="3">
        <v>10</v>
      </c>
      <c r="K141" s="3">
        <v>800</v>
      </c>
      <c r="L141" s="3">
        <v>25</v>
      </c>
      <c r="M141" s="3">
        <v>6000</v>
      </c>
      <c r="N141" s="24">
        <f>(Table1[[#This Row],[Profit (PKR)]]/Table1[[#This Row],[Total Revenue (PKR)]])</f>
        <v>0</v>
      </c>
      <c r="O141" s="3">
        <v>600</v>
      </c>
      <c r="P141" s="3">
        <v>6000</v>
      </c>
      <c r="Q141" s="3">
        <v>0</v>
      </c>
      <c r="R141" s="3" t="s">
        <v>42</v>
      </c>
      <c r="S141" s="3" t="str">
        <f>IF(AND(Table1[[#This Row],[Total Revenue (PKR)]]&gt;50000, Table1[[#This Row],[Discount %]]&lt;10),"High Value","Standard")</f>
        <v>Standard</v>
      </c>
      <c r="T141" s="3" t="s">
        <v>30</v>
      </c>
      <c r="U141" s="7" t="s">
        <v>24</v>
      </c>
      <c r="V141" s="20" t="s">
        <v>329</v>
      </c>
    </row>
    <row r="142" spans="1:22" x14ac:dyDescent="0.25">
      <c r="A142" s="4" t="s">
        <v>330</v>
      </c>
      <c r="B142" s="15">
        <f>DATEVALUE(Table1[[#This Row],[Date2]])</f>
        <v>45315</v>
      </c>
      <c r="C142" s="2" t="str">
        <f>TEXT(Table1[[#This Row],[Date]],"MMM")</f>
        <v>Jan</v>
      </c>
      <c r="D142" s="2" t="str">
        <f>"Q"&amp;ROUNDUP(MONTH(Table1[[#This Row],[Date]])/3,0)</f>
        <v>Q1</v>
      </c>
      <c r="E142" s="2">
        <f>YEAR(Table1[[#This Row],[Date]])</f>
        <v>2024</v>
      </c>
      <c r="F142" s="2" t="s">
        <v>33</v>
      </c>
      <c r="G142" s="2" t="s">
        <v>27</v>
      </c>
      <c r="H142" s="2" t="s">
        <v>53</v>
      </c>
      <c r="I142" s="2" t="s">
        <v>82</v>
      </c>
      <c r="J142" s="2">
        <v>1</v>
      </c>
      <c r="K142" s="2">
        <v>4000</v>
      </c>
      <c r="L142" s="2">
        <v>5</v>
      </c>
      <c r="M142" s="2">
        <v>3800</v>
      </c>
      <c r="N142" s="23">
        <f>(Table1[[#This Row],[Profit (PKR)]]/Table1[[#This Row],[Total Revenue (PKR)]])</f>
        <v>0.34210526315789475</v>
      </c>
      <c r="O142" s="2">
        <v>2500</v>
      </c>
      <c r="P142" s="2">
        <v>2500</v>
      </c>
      <c r="Q142" s="2">
        <v>1300</v>
      </c>
      <c r="R142" s="2" t="s">
        <v>42</v>
      </c>
      <c r="S142" s="2" t="str">
        <f>IF(AND(Table1[[#This Row],[Total Revenue (PKR)]]&gt;50000, Table1[[#This Row],[Discount %]]&lt;10),"High Value","Standard")</f>
        <v>Standard</v>
      </c>
      <c r="T142" s="2" t="s">
        <v>36</v>
      </c>
      <c r="U142" s="6" t="s">
        <v>86</v>
      </c>
      <c r="V142" s="19" t="s">
        <v>331</v>
      </c>
    </row>
    <row r="143" spans="1:22" x14ac:dyDescent="0.25">
      <c r="A143" s="5" t="s">
        <v>332</v>
      </c>
      <c r="B143" s="16">
        <f>DATEVALUE(Table1[[#This Row],[Date2]])</f>
        <v>45422</v>
      </c>
      <c r="C143" s="3" t="str">
        <f>TEXT(Table1[[#This Row],[Date]],"MMM")</f>
        <v>May</v>
      </c>
      <c r="D143" s="3" t="str">
        <f>"Q"&amp;ROUNDUP(MONTH(Table1[[#This Row],[Date]])/3,0)</f>
        <v>Q2</v>
      </c>
      <c r="E143" s="3">
        <f>YEAR(Table1[[#This Row],[Date]])</f>
        <v>2024</v>
      </c>
      <c r="F143" s="3" t="s">
        <v>39</v>
      </c>
      <c r="G143" s="3" t="s">
        <v>52</v>
      </c>
      <c r="H143" s="3" t="s">
        <v>28</v>
      </c>
      <c r="I143" s="3" t="s">
        <v>29</v>
      </c>
      <c r="J143" s="3">
        <v>16</v>
      </c>
      <c r="K143" s="3">
        <v>25000</v>
      </c>
      <c r="L143" s="3">
        <v>25</v>
      </c>
      <c r="M143" s="3">
        <v>300000</v>
      </c>
      <c r="N143" s="24">
        <f>(Table1[[#This Row],[Profit (PKR)]]/Table1[[#This Row],[Total Revenue (PKR)]])</f>
        <v>0.04</v>
      </c>
      <c r="O143" s="3">
        <v>18000</v>
      </c>
      <c r="P143" s="3">
        <v>288000</v>
      </c>
      <c r="Q143" s="3">
        <v>12000</v>
      </c>
      <c r="R143" s="3" t="s">
        <v>42</v>
      </c>
      <c r="S143" s="3" t="str">
        <f>IF(AND(Table1[[#This Row],[Total Revenue (PKR)]]&gt;50000, Table1[[#This Row],[Discount %]]&lt;10),"High Value","Standard")</f>
        <v>Standard</v>
      </c>
      <c r="T143" s="3" t="s">
        <v>36</v>
      </c>
      <c r="U143" s="7" t="s">
        <v>44</v>
      </c>
      <c r="V143" s="20" t="s">
        <v>333</v>
      </c>
    </row>
    <row r="144" spans="1:22" x14ac:dyDescent="0.25">
      <c r="A144" s="4" t="s">
        <v>334</v>
      </c>
      <c r="B144" s="15">
        <f>DATEVALUE(Table1[[#This Row],[Date2]])</f>
        <v>45564</v>
      </c>
      <c r="C144" s="2" t="str">
        <f>TEXT(Table1[[#This Row],[Date]],"MMM")</f>
        <v>Sep</v>
      </c>
      <c r="D144" s="2" t="str">
        <f>"Q"&amp;ROUNDUP(MONTH(Table1[[#This Row],[Date]])/3,0)</f>
        <v>Q3</v>
      </c>
      <c r="E144" s="2">
        <f>YEAR(Table1[[#This Row],[Date]])</f>
        <v>2024</v>
      </c>
      <c r="F144" s="2" t="s">
        <v>33</v>
      </c>
      <c r="G144" s="2" t="s">
        <v>52</v>
      </c>
      <c r="H144" s="2" t="s">
        <v>28</v>
      </c>
      <c r="I144" s="2" t="s">
        <v>49</v>
      </c>
      <c r="J144" s="2">
        <v>2</v>
      </c>
      <c r="K144" s="2">
        <v>5000</v>
      </c>
      <c r="L144" s="2">
        <v>15</v>
      </c>
      <c r="M144" s="2">
        <v>8500</v>
      </c>
      <c r="N144" s="23">
        <f>(Table1[[#This Row],[Profit (PKR)]]/Table1[[#This Row],[Total Revenue (PKR)]])</f>
        <v>0.29411764705882354</v>
      </c>
      <c r="O144" s="2">
        <v>3000</v>
      </c>
      <c r="P144" s="2">
        <v>6000</v>
      </c>
      <c r="Q144" s="2">
        <v>2500</v>
      </c>
      <c r="R144" s="2" t="s">
        <v>22</v>
      </c>
      <c r="S144" s="2" t="str">
        <f>IF(AND(Table1[[#This Row],[Total Revenue (PKR)]]&gt;50000, Table1[[#This Row],[Discount %]]&lt;10),"High Value","Standard")</f>
        <v>Standard</v>
      </c>
      <c r="T144" s="2" t="s">
        <v>66</v>
      </c>
      <c r="U144" s="6" t="s">
        <v>95</v>
      </c>
      <c r="V144" s="19" t="s">
        <v>91</v>
      </c>
    </row>
    <row r="145" spans="1:22" x14ac:dyDescent="0.25">
      <c r="A145" s="5" t="s">
        <v>335</v>
      </c>
      <c r="B145" s="16">
        <f>DATEVALUE(Table1[[#This Row],[Date2]])</f>
        <v>45452</v>
      </c>
      <c r="C145" s="3" t="str">
        <f>TEXT(Table1[[#This Row],[Date]],"MMM")</f>
        <v>Jun</v>
      </c>
      <c r="D145" s="3" t="str">
        <f>"Q"&amp;ROUNDUP(MONTH(Table1[[#This Row],[Date]])/3,0)</f>
        <v>Q2</v>
      </c>
      <c r="E145" s="3">
        <f>YEAR(Table1[[#This Row],[Date]])</f>
        <v>2024</v>
      </c>
      <c r="F145" s="3" t="s">
        <v>47</v>
      </c>
      <c r="G145" s="3" t="s">
        <v>27</v>
      </c>
      <c r="H145" s="3" t="s">
        <v>53</v>
      </c>
      <c r="I145" s="3" t="s">
        <v>71</v>
      </c>
      <c r="J145" s="3">
        <v>14</v>
      </c>
      <c r="K145" s="3">
        <v>8000</v>
      </c>
      <c r="L145" s="3">
        <v>10</v>
      </c>
      <c r="M145" s="3">
        <v>100800</v>
      </c>
      <c r="N145" s="24">
        <f>(Table1[[#This Row],[Profit (PKR)]]/Table1[[#This Row],[Total Revenue (PKR)]])</f>
        <v>0.30555555555555558</v>
      </c>
      <c r="O145" s="3">
        <v>5000</v>
      </c>
      <c r="P145" s="3">
        <v>70000</v>
      </c>
      <c r="Q145" s="3">
        <v>30800</v>
      </c>
      <c r="R145" s="3" t="s">
        <v>22</v>
      </c>
      <c r="S145" s="3" t="str">
        <f>IF(AND(Table1[[#This Row],[Total Revenue (PKR)]]&gt;50000, Table1[[#This Row],[Discount %]]&lt;10),"High Value","Standard")</f>
        <v>Standard</v>
      </c>
      <c r="T145" s="3" t="s">
        <v>66</v>
      </c>
      <c r="U145" s="7" t="s">
        <v>44</v>
      </c>
      <c r="V145" s="20" t="s">
        <v>336</v>
      </c>
    </row>
    <row r="146" spans="1:22" x14ac:dyDescent="0.25">
      <c r="A146" s="4" t="s">
        <v>337</v>
      </c>
      <c r="B146" s="15">
        <f>DATEVALUE(Table1[[#This Row],[Date2]])</f>
        <v>45458</v>
      </c>
      <c r="C146" s="2" t="str">
        <f>TEXT(Table1[[#This Row],[Date]],"MMM")</f>
        <v>Jun</v>
      </c>
      <c r="D146" s="2" t="str">
        <f>"Q"&amp;ROUNDUP(MONTH(Table1[[#This Row],[Date]])/3,0)</f>
        <v>Q2</v>
      </c>
      <c r="E146" s="2">
        <f>YEAR(Table1[[#This Row],[Date]])</f>
        <v>2024</v>
      </c>
      <c r="F146" s="2" t="s">
        <v>92</v>
      </c>
      <c r="G146" s="2" t="s">
        <v>74</v>
      </c>
      <c r="H146" s="2" t="s">
        <v>20</v>
      </c>
      <c r="I146" s="2" t="s">
        <v>65</v>
      </c>
      <c r="J146" s="2">
        <v>14</v>
      </c>
      <c r="K146" s="2">
        <v>18000</v>
      </c>
      <c r="L146" s="2">
        <v>0</v>
      </c>
      <c r="M146" s="2">
        <v>252000</v>
      </c>
      <c r="N146" s="23">
        <f>(Table1[[#This Row],[Profit (PKR)]]/Table1[[#This Row],[Total Revenue (PKR)]])</f>
        <v>0.33333333333333331</v>
      </c>
      <c r="O146" s="2">
        <v>12000</v>
      </c>
      <c r="P146" s="2">
        <v>168000</v>
      </c>
      <c r="Q146" s="2">
        <v>84000</v>
      </c>
      <c r="R146" s="2" t="s">
        <v>22</v>
      </c>
      <c r="S146" s="2" t="str">
        <f>IF(AND(Table1[[#This Row],[Total Revenue (PKR)]]&gt;50000, Table1[[#This Row],[Discount %]]&lt;10),"High Value","Standard")</f>
        <v>High Value</v>
      </c>
      <c r="T146" s="2" t="s">
        <v>66</v>
      </c>
      <c r="U146" s="6" t="s">
        <v>44</v>
      </c>
      <c r="V146" s="19" t="s">
        <v>211</v>
      </c>
    </row>
    <row r="147" spans="1:22" x14ac:dyDescent="0.25">
      <c r="A147" s="5" t="s">
        <v>338</v>
      </c>
      <c r="B147" s="16">
        <f>DATEVALUE(Table1[[#This Row],[Date2]])</f>
        <v>45560</v>
      </c>
      <c r="C147" s="3" t="str">
        <f>TEXT(Table1[[#This Row],[Date]],"MMM")</f>
        <v>Sep</v>
      </c>
      <c r="D147" s="3" t="str">
        <f>"Q"&amp;ROUNDUP(MONTH(Table1[[#This Row],[Date]])/3,0)</f>
        <v>Q3</v>
      </c>
      <c r="E147" s="3">
        <f>YEAR(Table1[[#This Row],[Date]])</f>
        <v>2024</v>
      </c>
      <c r="F147" s="3" t="s">
        <v>18</v>
      </c>
      <c r="G147" s="3" t="s">
        <v>27</v>
      </c>
      <c r="H147" s="3" t="s">
        <v>20</v>
      </c>
      <c r="I147" s="3" t="s">
        <v>182</v>
      </c>
      <c r="J147" s="3">
        <v>8</v>
      </c>
      <c r="K147" s="3">
        <v>5000</v>
      </c>
      <c r="L147" s="3">
        <v>10</v>
      </c>
      <c r="M147" s="3">
        <v>36000</v>
      </c>
      <c r="N147" s="24">
        <f>(Table1[[#This Row],[Profit (PKR)]]/Table1[[#This Row],[Total Revenue (PKR)]])</f>
        <v>0.33333333333333331</v>
      </c>
      <c r="O147" s="3">
        <v>3000</v>
      </c>
      <c r="P147" s="3">
        <v>24000</v>
      </c>
      <c r="Q147" s="3">
        <v>12000</v>
      </c>
      <c r="R147" s="3" t="s">
        <v>22</v>
      </c>
      <c r="S147" s="3" t="str">
        <f>IF(AND(Table1[[#This Row],[Total Revenue (PKR)]]&gt;50000, Table1[[#This Row],[Discount %]]&lt;10),"High Value","Standard")</f>
        <v>Standard</v>
      </c>
      <c r="T147" s="3" t="s">
        <v>43</v>
      </c>
      <c r="U147" s="7" t="s">
        <v>44</v>
      </c>
      <c r="V147" s="20" t="s">
        <v>339</v>
      </c>
    </row>
    <row r="148" spans="1:22" x14ac:dyDescent="0.25">
      <c r="A148" s="4" t="s">
        <v>340</v>
      </c>
      <c r="B148" s="15">
        <f>DATEVALUE(Table1[[#This Row],[Date2]])</f>
        <v>45350</v>
      </c>
      <c r="C148" s="2" t="str">
        <f>TEXT(Table1[[#This Row],[Date]],"MMM")</f>
        <v>Feb</v>
      </c>
      <c r="D148" s="2" t="str">
        <f>"Q"&amp;ROUNDUP(MONTH(Table1[[#This Row],[Date]])/3,0)</f>
        <v>Q1</v>
      </c>
      <c r="E148" s="2">
        <f>YEAR(Table1[[#This Row],[Date]])</f>
        <v>2024</v>
      </c>
      <c r="F148" s="2" t="s">
        <v>63</v>
      </c>
      <c r="G148" s="2" t="s">
        <v>64</v>
      </c>
      <c r="H148" s="2" t="s">
        <v>20</v>
      </c>
      <c r="I148" s="2" t="s">
        <v>182</v>
      </c>
      <c r="J148" s="2">
        <v>5</v>
      </c>
      <c r="K148" s="2">
        <v>5000</v>
      </c>
      <c r="L148" s="2">
        <v>5</v>
      </c>
      <c r="M148" s="2">
        <v>23750</v>
      </c>
      <c r="N148" s="23">
        <f>(Table1[[#This Row],[Profit (PKR)]]/Table1[[#This Row],[Total Revenue (PKR)]])</f>
        <v>0.36842105263157893</v>
      </c>
      <c r="O148" s="2">
        <v>3000</v>
      </c>
      <c r="P148" s="2">
        <v>15000</v>
      </c>
      <c r="Q148" s="2">
        <v>8750</v>
      </c>
      <c r="R148" s="2" t="s">
        <v>22</v>
      </c>
      <c r="S148" s="2" t="str">
        <f>IF(AND(Table1[[#This Row],[Total Revenue (PKR)]]&gt;50000, Table1[[#This Row],[Discount %]]&lt;10),"High Value","Standard")</f>
        <v>Standard</v>
      </c>
      <c r="T148" s="2" t="s">
        <v>36</v>
      </c>
      <c r="U148" s="6" t="s">
        <v>44</v>
      </c>
      <c r="V148" s="19" t="s">
        <v>306</v>
      </c>
    </row>
    <row r="149" spans="1:22" x14ac:dyDescent="0.25">
      <c r="A149" s="5" t="s">
        <v>341</v>
      </c>
      <c r="B149" s="16">
        <f>DATEVALUE(Table1[[#This Row],[Date2]])</f>
        <v>45380</v>
      </c>
      <c r="C149" s="3" t="str">
        <f>TEXT(Table1[[#This Row],[Date]],"MMM")</f>
        <v>Mar</v>
      </c>
      <c r="D149" s="3" t="str">
        <f>"Q"&amp;ROUNDUP(MONTH(Table1[[#This Row],[Date]])/3,0)</f>
        <v>Q1</v>
      </c>
      <c r="E149" s="3">
        <f>YEAR(Table1[[#This Row],[Date]])</f>
        <v>2024</v>
      </c>
      <c r="F149" s="3" t="s">
        <v>47</v>
      </c>
      <c r="G149" s="3" t="s">
        <v>40</v>
      </c>
      <c r="H149" s="3" t="s">
        <v>28</v>
      </c>
      <c r="I149" s="3" t="s">
        <v>116</v>
      </c>
      <c r="J149" s="3">
        <v>16</v>
      </c>
      <c r="K149" s="3">
        <v>85000</v>
      </c>
      <c r="L149" s="3">
        <v>15</v>
      </c>
      <c r="M149" s="3">
        <v>1156000</v>
      </c>
      <c r="N149" s="24">
        <f>(Table1[[#This Row],[Profit (PKR)]]/Table1[[#This Row],[Total Revenue (PKR)]])</f>
        <v>0.10034602076124567</v>
      </c>
      <c r="O149" s="3">
        <v>65000</v>
      </c>
      <c r="P149" s="3">
        <v>1040000</v>
      </c>
      <c r="Q149" s="3">
        <v>116000</v>
      </c>
      <c r="R149" s="3" t="s">
        <v>42</v>
      </c>
      <c r="S149" s="3" t="str">
        <f>IF(AND(Table1[[#This Row],[Total Revenue (PKR)]]&gt;50000, Table1[[#This Row],[Discount %]]&lt;10),"High Value","Standard")</f>
        <v>Standard</v>
      </c>
      <c r="T149" s="3" t="s">
        <v>23</v>
      </c>
      <c r="U149" s="7" t="s">
        <v>95</v>
      </c>
      <c r="V149" s="20" t="s">
        <v>342</v>
      </c>
    </row>
    <row r="150" spans="1:22" x14ac:dyDescent="0.25">
      <c r="A150" s="4" t="s">
        <v>343</v>
      </c>
      <c r="B150" s="15">
        <f>DATEVALUE(Table1[[#This Row],[Date2]])</f>
        <v>45581</v>
      </c>
      <c r="C150" s="2" t="str">
        <f>TEXT(Table1[[#This Row],[Date]],"MMM")</f>
        <v>Oct</v>
      </c>
      <c r="D150" s="2" t="str">
        <f>"Q"&amp;ROUNDUP(MONTH(Table1[[#This Row],[Date]])/3,0)</f>
        <v>Q4</v>
      </c>
      <c r="E150" s="2">
        <f>YEAR(Table1[[#This Row],[Date]])</f>
        <v>2024</v>
      </c>
      <c r="F150" s="2" t="s">
        <v>47</v>
      </c>
      <c r="G150" s="2" t="s">
        <v>52</v>
      </c>
      <c r="H150" s="2" t="s">
        <v>20</v>
      </c>
      <c r="I150" s="2" t="s">
        <v>21</v>
      </c>
      <c r="J150" s="2">
        <v>15</v>
      </c>
      <c r="K150" s="2">
        <v>3500</v>
      </c>
      <c r="L150" s="2">
        <v>0</v>
      </c>
      <c r="M150" s="2">
        <v>52500</v>
      </c>
      <c r="N150" s="23">
        <f>(Table1[[#This Row],[Profit (PKR)]]/Table1[[#This Row],[Total Revenue (PKR)]])</f>
        <v>0.42857142857142855</v>
      </c>
      <c r="O150" s="2">
        <v>2000</v>
      </c>
      <c r="P150" s="2">
        <v>30000</v>
      </c>
      <c r="Q150" s="2">
        <v>22500</v>
      </c>
      <c r="R150" s="2" t="s">
        <v>42</v>
      </c>
      <c r="S150" s="2" t="str">
        <f>IF(AND(Table1[[#This Row],[Total Revenue (PKR)]]&gt;50000, Table1[[#This Row],[Discount %]]&lt;10),"High Value","Standard")</f>
        <v>High Value</v>
      </c>
      <c r="T150" s="2" t="s">
        <v>66</v>
      </c>
      <c r="U150" s="6" t="s">
        <v>24</v>
      </c>
      <c r="V150" s="19" t="s">
        <v>344</v>
      </c>
    </row>
    <row r="151" spans="1:22" x14ac:dyDescent="0.25">
      <c r="A151" s="5" t="s">
        <v>345</v>
      </c>
      <c r="B151" s="16">
        <f>DATEVALUE(Table1[[#This Row],[Date2]])</f>
        <v>45432</v>
      </c>
      <c r="C151" s="3" t="str">
        <f>TEXT(Table1[[#This Row],[Date]],"MMM")</f>
        <v>May</v>
      </c>
      <c r="D151" s="3" t="str">
        <f>"Q"&amp;ROUNDUP(MONTH(Table1[[#This Row],[Date]])/3,0)</f>
        <v>Q2</v>
      </c>
      <c r="E151" s="3">
        <f>YEAR(Table1[[#This Row],[Date]])</f>
        <v>2024</v>
      </c>
      <c r="F151" s="3" t="s">
        <v>47</v>
      </c>
      <c r="G151" s="3" t="s">
        <v>19</v>
      </c>
      <c r="H151" s="3" t="s">
        <v>20</v>
      </c>
      <c r="I151" s="3" t="s">
        <v>137</v>
      </c>
      <c r="J151" s="3">
        <v>3</v>
      </c>
      <c r="K151" s="3">
        <v>15000</v>
      </c>
      <c r="L151" s="3">
        <v>10</v>
      </c>
      <c r="M151" s="3">
        <v>40500</v>
      </c>
      <c r="N151" s="24">
        <f>(Table1[[#This Row],[Profit (PKR)]]/Table1[[#This Row],[Total Revenue (PKR)]])</f>
        <v>0.25925925925925924</v>
      </c>
      <c r="O151" s="3">
        <v>10000</v>
      </c>
      <c r="P151" s="3">
        <v>30000</v>
      </c>
      <c r="Q151" s="3">
        <v>10500</v>
      </c>
      <c r="R151" s="3" t="s">
        <v>42</v>
      </c>
      <c r="S151" s="3" t="str">
        <f>IF(AND(Table1[[#This Row],[Total Revenue (PKR)]]&gt;50000, Table1[[#This Row],[Discount %]]&lt;10),"High Value","Standard")</f>
        <v>Standard</v>
      </c>
      <c r="T151" s="3" t="s">
        <v>66</v>
      </c>
      <c r="U151" s="7" t="s">
        <v>44</v>
      </c>
      <c r="V151" s="20" t="s">
        <v>346</v>
      </c>
    </row>
    <row r="152" spans="1:22" x14ac:dyDescent="0.25">
      <c r="A152" s="4" t="s">
        <v>347</v>
      </c>
      <c r="B152" s="15">
        <f>DATEVALUE(Table1[[#This Row],[Date2]])</f>
        <v>45480</v>
      </c>
      <c r="C152" s="2" t="str">
        <f>TEXT(Table1[[#This Row],[Date]],"MMM")</f>
        <v>Jul</v>
      </c>
      <c r="D152" s="2" t="str">
        <f>"Q"&amp;ROUNDUP(MONTH(Table1[[#This Row],[Date]])/3,0)</f>
        <v>Q3</v>
      </c>
      <c r="E152" s="2">
        <f>YEAR(Table1[[#This Row],[Date]])</f>
        <v>2024</v>
      </c>
      <c r="F152" s="2" t="s">
        <v>39</v>
      </c>
      <c r="G152" s="2" t="s">
        <v>159</v>
      </c>
      <c r="H152" s="2" t="s">
        <v>28</v>
      </c>
      <c r="I152" s="2" t="s">
        <v>127</v>
      </c>
      <c r="J152" s="2">
        <v>20</v>
      </c>
      <c r="K152" s="2">
        <v>15000</v>
      </c>
      <c r="L152" s="2">
        <v>20</v>
      </c>
      <c r="M152" s="2">
        <v>240000</v>
      </c>
      <c r="N152" s="23">
        <f>(Table1[[#This Row],[Profit (PKR)]]/Table1[[#This Row],[Total Revenue (PKR)]])</f>
        <v>0.16666666666666666</v>
      </c>
      <c r="O152" s="2">
        <v>10000</v>
      </c>
      <c r="P152" s="2">
        <v>200000</v>
      </c>
      <c r="Q152" s="2">
        <v>40000</v>
      </c>
      <c r="R152" s="2" t="s">
        <v>42</v>
      </c>
      <c r="S152" s="2" t="str">
        <f>IF(AND(Table1[[#This Row],[Total Revenue (PKR)]]&gt;50000, Table1[[#This Row],[Discount %]]&lt;10),"High Value","Standard")</f>
        <v>Standard</v>
      </c>
      <c r="T152" s="2" t="s">
        <v>66</v>
      </c>
      <c r="U152" s="6" t="s">
        <v>44</v>
      </c>
      <c r="V152" s="19" t="s">
        <v>200</v>
      </c>
    </row>
    <row r="153" spans="1:22" x14ac:dyDescent="0.25">
      <c r="A153" s="5" t="s">
        <v>348</v>
      </c>
      <c r="B153" s="16">
        <f>DATEVALUE(Table1[[#This Row],[Date2]])</f>
        <v>45313</v>
      </c>
      <c r="C153" s="3" t="str">
        <f>TEXT(Table1[[#This Row],[Date]],"MMM")</f>
        <v>Jan</v>
      </c>
      <c r="D153" s="3" t="str">
        <f>"Q"&amp;ROUNDUP(MONTH(Table1[[#This Row],[Date]])/3,0)</f>
        <v>Q1</v>
      </c>
      <c r="E153" s="3">
        <f>YEAR(Table1[[#This Row],[Date]])</f>
        <v>2024</v>
      </c>
      <c r="F153" s="3" t="s">
        <v>122</v>
      </c>
      <c r="G153" s="3" t="s">
        <v>64</v>
      </c>
      <c r="H153" s="3" t="s">
        <v>20</v>
      </c>
      <c r="I153" s="3" t="s">
        <v>137</v>
      </c>
      <c r="J153" s="3">
        <v>16</v>
      </c>
      <c r="K153" s="3">
        <v>15000</v>
      </c>
      <c r="L153" s="3">
        <v>20</v>
      </c>
      <c r="M153" s="3">
        <v>192000</v>
      </c>
      <c r="N153" s="24">
        <f>(Table1[[#This Row],[Profit (PKR)]]/Table1[[#This Row],[Total Revenue (PKR)]])</f>
        <v>0.16666666666666666</v>
      </c>
      <c r="O153" s="3">
        <v>10000</v>
      </c>
      <c r="P153" s="3">
        <v>160000</v>
      </c>
      <c r="Q153" s="3">
        <v>32000</v>
      </c>
      <c r="R153" s="3" t="s">
        <v>22</v>
      </c>
      <c r="S153" s="3" t="str">
        <f>IF(AND(Table1[[#This Row],[Total Revenue (PKR)]]&gt;50000, Table1[[#This Row],[Discount %]]&lt;10),"High Value","Standard")</f>
        <v>Standard</v>
      </c>
      <c r="T153" s="3" t="s">
        <v>43</v>
      </c>
      <c r="U153" s="7" t="s">
        <v>44</v>
      </c>
      <c r="V153" s="20" t="s">
        <v>349</v>
      </c>
    </row>
    <row r="154" spans="1:22" x14ac:dyDescent="0.25">
      <c r="A154" s="4" t="s">
        <v>350</v>
      </c>
      <c r="B154" s="15">
        <f>DATEVALUE(Table1[[#This Row],[Date2]])</f>
        <v>45467</v>
      </c>
      <c r="C154" s="2" t="str">
        <f>TEXT(Table1[[#This Row],[Date]],"MMM")</f>
        <v>Jun</v>
      </c>
      <c r="D154" s="2" t="str">
        <f>"Q"&amp;ROUNDUP(MONTH(Table1[[#This Row],[Date]])/3,0)</f>
        <v>Q2</v>
      </c>
      <c r="E154" s="2">
        <f>YEAR(Table1[[#This Row],[Date]])</f>
        <v>2024</v>
      </c>
      <c r="F154" s="2" t="s">
        <v>18</v>
      </c>
      <c r="G154" s="2" t="s">
        <v>40</v>
      </c>
      <c r="H154" s="2" t="s">
        <v>28</v>
      </c>
      <c r="I154" s="2" t="s">
        <v>116</v>
      </c>
      <c r="J154" s="2">
        <v>15</v>
      </c>
      <c r="K154" s="2">
        <v>85000</v>
      </c>
      <c r="L154" s="2">
        <v>15</v>
      </c>
      <c r="M154" s="2">
        <v>1083750</v>
      </c>
      <c r="N154" s="23">
        <f>(Table1[[#This Row],[Profit (PKR)]]/Table1[[#This Row],[Total Revenue (PKR)]])</f>
        <v>0.10034602076124567</v>
      </c>
      <c r="O154" s="2">
        <v>65000</v>
      </c>
      <c r="P154" s="2">
        <v>975000</v>
      </c>
      <c r="Q154" s="2">
        <v>108750</v>
      </c>
      <c r="R154" s="2" t="s">
        <v>22</v>
      </c>
      <c r="S154" s="2" t="str">
        <f>IF(AND(Table1[[#This Row],[Total Revenue (PKR)]]&gt;50000, Table1[[#This Row],[Discount %]]&lt;10),"High Value","Standard")</f>
        <v>Standard</v>
      </c>
      <c r="T154" s="2" t="s">
        <v>55</v>
      </c>
      <c r="U154" s="6" t="s">
        <v>44</v>
      </c>
      <c r="V154" s="19" t="s">
        <v>351</v>
      </c>
    </row>
    <row r="155" spans="1:22" x14ac:dyDescent="0.25">
      <c r="A155" s="5" t="s">
        <v>352</v>
      </c>
      <c r="B155" s="16">
        <f>DATEVALUE(Table1[[#This Row],[Date2]])</f>
        <v>45436</v>
      </c>
      <c r="C155" s="3" t="str">
        <f>TEXT(Table1[[#This Row],[Date]],"MMM")</f>
        <v>May</v>
      </c>
      <c r="D155" s="3" t="str">
        <f>"Q"&amp;ROUNDUP(MONTH(Table1[[#This Row],[Date]])/3,0)</f>
        <v>Q2</v>
      </c>
      <c r="E155" s="3">
        <f>YEAR(Table1[[#This Row],[Date]])</f>
        <v>2024</v>
      </c>
      <c r="F155" s="3" t="s">
        <v>77</v>
      </c>
      <c r="G155" s="3" t="s">
        <v>27</v>
      </c>
      <c r="H155" s="3" t="s">
        <v>20</v>
      </c>
      <c r="I155" s="3" t="s">
        <v>137</v>
      </c>
      <c r="J155" s="3">
        <v>2</v>
      </c>
      <c r="K155" s="3">
        <v>15000</v>
      </c>
      <c r="L155" s="3">
        <v>25</v>
      </c>
      <c r="M155" s="3">
        <v>22500</v>
      </c>
      <c r="N155" s="24">
        <f>(Table1[[#This Row],[Profit (PKR)]]/Table1[[#This Row],[Total Revenue (PKR)]])</f>
        <v>0.1111111111111111</v>
      </c>
      <c r="O155" s="3">
        <v>10000</v>
      </c>
      <c r="P155" s="3">
        <v>20000</v>
      </c>
      <c r="Q155" s="3">
        <v>2500</v>
      </c>
      <c r="R155" s="3" t="s">
        <v>42</v>
      </c>
      <c r="S155" s="3" t="str">
        <f>IF(AND(Table1[[#This Row],[Total Revenue (PKR)]]&gt;50000, Table1[[#This Row],[Discount %]]&lt;10),"High Value","Standard")</f>
        <v>Standard</v>
      </c>
      <c r="T155" s="3" t="s">
        <v>43</v>
      </c>
      <c r="U155" s="7" t="s">
        <v>44</v>
      </c>
      <c r="V155" s="20" t="s">
        <v>353</v>
      </c>
    </row>
    <row r="156" spans="1:22" x14ac:dyDescent="0.25">
      <c r="A156" s="4" t="s">
        <v>354</v>
      </c>
      <c r="B156" s="15">
        <f>DATEVALUE(Table1[[#This Row],[Date2]])</f>
        <v>45577</v>
      </c>
      <c r="C156" s="2" t="str">
        <f>TEXT(Table1[[#This Row],[Date]],"MMM")</f>
        <v>Oct</v>
      </c>
      <c r="D156" s="2" t="str">
        <f>"Q"&amp;ROUNDUP(MONTH(Table1[[#This Row],[Date]])/3,0)</f>
        <v>Q4</v>
      </c>
      <c r="E156" s="2">
        <f>YEAR(Table1[[#This Row],[Date]])</f>
        <v>2024</v>
      </c>
      <c r="F156" s="2" t="s">
        <v>77</v>
      </c>
      <c r="G156" s="2" t="s">
        <v>48</v>
      </c>
      <c r="H156" s="2" t="s">
        <v>20</v>
      </c>
      <c r="I156" s="2" t="s">
        <v>137</v>
      </c>
      <c r="J156" s="2">
        <v>5</v>
      </c>
      <c r="K156" s="2">
        <v>15000</v>
      </c>
      <c r="L156" s="2">
        <v>10</v>
      </c>
      <c r="M156" s="2">
        <v>67500</v>
      </c>
      <c r="N156" s="23">
        <f>(Table1[[#This Row],[Profit (PKR)]]/Table1[[#This Row],[Total Revenue (PKR)]])</f>
        <v>0.25925925925925924</v>
      </c>
      <c r="O156" s="2">
        <v>10000</v>
      </c>
      <c r="P156" s="2">
        <v>50000</v>
      </c>
      <c r="Q156" s="2">
        <v>17500</v>
      </c>
      <c r="R156" s="2" t="s">
        <v>22</v>
      </c>
      <c r="S156" s="2" t="str">
        <f>IF(AND(Table1[[#This Row],[Total Revenue (PKR)]]&gt;50000, Table1[[#This Row],[Discount %]]&lt;10),"High Value","Standard")</f>
        <v>Standard</v>
      </c>
      <c r="T156" s="2" t="s">
        <v>30</v>
      </c>
      <c r="U156" s="6" t="s">
        <v>24</v>
      </c>
      <c r="V156" s="19" t="s">
        <v>355</v>
      </c>
    </row>
    <row r="157" spans="1:22" x14ac:dyDescent="0.25">
      <c r="A157" s="5" t="s">
        <v>356</v>
      </c>
      <c r="B157" s="16">
        <f>DATEVALUE(Table1[[#This Row],[Date2]])</f>
        <v>45471</v>
      </c>
      <c r="C157" s="3" t="str">
        <f>TEXT(Table1[[#This Row],[Date]],"MMM")</f>
        <v>Jun</v>
      </c>
      <c r="D157" s="3" t="str">
        <f>"Q"&amp;ROUNDUP(MONTH(Table1[[#This Row],[Date]])/3,0)</f>
        <v>Q2</v>
      </c>
      <c r="E157" s="3">
        <f>YEAR(Table1[[#This Row],[Date]])</f>
        <v>2024</v>
      </c>
      <c r="F157" s="3" t="s">
        <v>39</v>
      </c>
      <c r="G157" s="3" t="s">
        <v>27</v>
      </c>
      <c r="H157" s="3" t="s">
        <v>34</v>
      </c>
      <c r="I157" s="3" t="s">
        <v>89</v>
      </c>
      <c r="J157" s="3">
        <v>3</v>
      </c>
      <c r="K157" s="3">
        <v>4500</v>
      </c>
      <c r="L157" s="3">
        <v>10</v>
      </c>
      <c r="M157" s="3">
        <v>12150</v>
      </c>
      <c r="N157" s="24">
        <f>(Table1[[#This Row],[Profit (PKR)]]/Table1[[#This Row],[Total Revenue (PKR)]])</f>
        <v>0.38271604938271603</v>
      </c>
      <c r="O157" s="3">
        <v>2500</v>
      </c>
      <c r="P157" s="3">
        <v>7500</v>
      </c>
      <c r="Q157" s="3">
        <v>4650</v>
      </c>
      <c r="R157" s="3" t="s">
        <v>42</v>
      </c>
      <c r="S157" s="3" t="str">
        <f>IF(AND(Table1[[#This Row],[Total Revenue (PKR)]]&gt;50000, Table1[[#This Row],[Discount %]]&lt;10),"High Value","Standard")</f>
        <v>Standard</v>
      </c>
      <c r="T157" s="3" t="s">
        <v>23</v>
      </c>
      <c r="U157" s="7" t="s">
        <v>86</v>
      </c>
      <c r="V157" s="20" t="s">
        <v>357</v>
      </c>
    </row>
    <row r="158" spans="1:22" x14ac:dyDescent="0.25">
      <c r="A158" s="4" t="s">
        <v>358</v>
      </c>
      <c r="B158" s="15">
        <f>DATEVALUE(Table1[[#This Row],[Date2]])</f>
        <v>45357</v>
      </c>
      <c r="C158" s="2" t="str">
        <f>TEXT(Table1[[#This Row],[Date]],"MMM")</f>
        <v>Mar</v>
      </c>
      <c r="D158" s="2" t="str">
        <f>"Q"&amp;ROUNDUP(MONTH(Table1[[#This Row],[Date]])/3,0)</f>
        <v>Q1</v>
      </c>
      <c r="E158" s="2">
        <f>YEAR(Table1[[#This Row],[Date]])</f>
        <v>2024</v>
      </c>
      <c r="F158" s="2" t="s">
        <v>63</v>
      </c>
      <c r="G158" s="2" t="s">
        <v>159</v>
      </c>
      <c r="H158" s="2" t="s">
        <v>93</v>
      </c>
      <c r="I158" s="2" t="s">
        <v>94</v>
      </c>
      <c r="J158" s="2">
        <v>12</v>
      </c>
      <c r="K158" s="2">
        <v>1200</v>
      </c>
      <c r="L158" s="2">
        <v>0</v>
      </c>
      <c r="M158" s="2">
        <v>14400</v>
      </c>
      <c r="N158" s="23">
        <f>(Table1[[#This Row],[Profit (PKR)]]/Table1[[#This Row],[Total Revenue (PKR)]])</f>
        <v>0.25</v>
      </c>
      <c r="O158" s="2">
        <v>900</v>
      </c>
      <c r="P158" s="2">
        <v>10800</v>
      </c>
      <c r="Q158" s="2">
        <v>3600</v>
      </c>
      <c r="R158" s="2" t="s">
        <v>42</v>
      </c>
      <c r="S158" s="2" t="str">
        <f>IF(AND(Table1[[#This Row],[Total Revenue (PKR)]]&gt;50000, Table1[[#This Row],[Discount %]]&lt;10),"High Value","Standard")</f>
        <v>Standard</v>
      </c>
      <c r="T158" s="2" t="s">
        <v>55</v>
      </c>
      <c r="U158" s="6" t="s">
        <v>44</v>
      </c>
      <c r="V158" s="19" t="s">
        <v>359</v>
      </c>
    </row>
    <row r="159" spans="1:22" x14ac:dyDescent="0.25">
      <c r="A159" s="5" t="s">
        <v>360</v>
      </c>
      <c r="B159" s="16">
        <f>DATEVALUE(Table1[[#This Row],[Date2]])</f>
        <v>45401</v>
      </c>
      <c r="C159" s="3" t="str">
        <f>TEXT(Table1[[#This Row],[Date]],"MMM")</f>
        <v>Apr</v>
      </c>
      <c r="D159" s="3" t="str">
        <f>"Q"&amp;ROUNDUP(MONTH(Table1[[#This Row],[Date]])/3,0)</f>
        <v>Q2</v>
      </c>
      <c r="E159" s="3">
        <f>YEAR(Table1[[#This Row],[Date]])</f>
        <v>2024</v>
      </c>
      <c r="F159" s="3" t="s">
        <v>100</v>
      </c>
      <c r="G159" s="3" t="s">
        <v>74</v>
      </c>
      <c r="H159" s="3" t="s">
        <v>34</v>
      </c>
      <c r="I159" s="3" t="s">
        <v>146</v>
      </c>
      <c r="J159" s="3">
        <v>5</v>
      </c>
      <c r="K159" s="3">
        <v>3500</v>
      </c>
      <c r="L159" s="3">
        <v>5</v>
      </c>
      <c r="M159" s="3">
        <v>16625</v>
      </c>
      <c r="N159" s="24">
        <f>(Table1[[#This Row],[Profit (PKR)]]/Table1[[#This Row],[Total Revenue (PKR)]])</f>
        <v>0.45864661654135336</v>
      </c>
      <c r="O159" s="3">
        <v>1800</v>
      </c>
      <c r="P159" s="3">
        <v>9000</v>
      </c>
      <c r="Q159" s="3">
        <v>7625</v>
      </c>
      <c r="R159" s="3" t="s">
        <v>22</v>
      </c>
      <c r="S159" s="3" t="str">
        <f>IF(AND(Table1[[#This Row],[Total Revenue (PKR)]]&gt;50000, Table1[[#This Row],[Discount %]]&lt;10),"High Value","Standard")</f>
        <v>Standard</v>
      </c>
      <c r="T159" s="3" t="s">
        <v>55</v>
      </c>
      <c r="U159" s="7" t="s">
        <v>86</v>
      </c>
      <c r="V159" s="20" t="s">
        <v>106</v>
      </c>
    </row>
    <row r="160" spans="1:22" x14ac:dyDescent="0.25">
      <c r="A160" s="4" t="s">
        <v>361</v>
      </c>
      <c r="B160" s="15">
        <f>DATEVALUE(Table1[[#This Row],[Date2]])</f>
        <v>45343</v>
      </c>
      <c r="C160" s="2" t="str">
        <f>TEXT(Table1[[#This Row],[Date]],"MMM")</f>
        <v>Feb</v>
      </c>
      <c r="D160" s="2" t="str">
        <f>"Q"&amp;ROUNDUP(MONTH(Table1[[#This Row],[Date]])/3,0)</f>
        <v>Q1</v>
      </c>
      <c r="E160" s="2">
        <f>YEAR(Table1[[#This Row],[Date]])</f>
        <v>2024</v>
      </c>
      <c r="F160" s="2" t="s">
        <v>63</v>
      </c>
      <c r="G160" s="2" t="s">
        <v>19</v>
      </c>
      <c r="H160" s="2" t="s">
        <v>20</v>
      </c>
      <c r="I160" s="2" t="s">
        <v>137</v>
      </c>
      <c r="J160" s="2">
        <v>5</v>
      </c>
      <c r="K160" s="2">
        <v>15000</v>
      </c>
      <c r="L160" s="2">
        <v>20</v>
      </c>
      <c r="M160" s="2">
        <v>60000</v>
      </c>
      <c r="N160" s="23">
        <f>(Table1[[#This Row],[Profit (PKR)]]/Table1[[#This Row],[Total Revenue (PKR)]])</f>
        <v>0.16666666666666666</v>
      </c>
      <c r="O160" s="2">
        <v>10000</v>
      </c>
      <c r="P160" s="2">
        <v>50000</v>
      </c>
      <c r="Q160" s="2">
        <v>10000</v>
      </c>
      <c r="R160" s="2" t="s">
        <v>42</v>
      </c>
      <c r="S160" s="2" t="str">
        <f>IF(AND(Table1[[#This Row],[Total Revenue (PKR)]]&gt;50000, Table1[[#This Row],[Discount %]]&lt;10),"High Value","Standard")</f>
        <v>Standard</v>
      </c>
      <c r="T160" s="2" t="s">
        <v>36</v>
      </c>
      <c r="U160" s="6" t="s">
        <v>44</v>
      </c>
      <c r="V160" s="19" t="s">
        <v>362</v>
      </c>
    </row>
    <row r="161" spans="1:22" x14ac:dyDescent="0.25">
      <c r="A161" s="5" t="s">
        <v>363</v>
      </c>
      <c r="B161" s="16">
        <f>DATEVALUE(Table1[[#This Row],[Date2]])</f>
        <v>45646</v>
      </c>
      <c r="C161" s="3" t="str">
        <f>TEXT(Table1[[#This Row],[Date]],"MMM")</f>
        <v>Dec</v>
      </c>
      <c r="D161" s="3" t="str">
        <f>"Q"&amp;ROUNDUP(MONTH(Table1[[#This Row],[Date]])/3,0)</f>
        <v>Q4</v>
      </c>
      <c r="E161" s="3">
        <f>YEAR(Table1[[#This Row],[Date]])</f>
        <v>2024</v>
      </c>
      <c r="F161" s="3" t="s">
        <v>47</v>
      </c>
      <c r="G161" s="3" t="s">
        <v>40</v>
      </c>
      <c r="H161" s="3" t="s">
        <v>93</v>
      </c>
      <c r="I161" s="3" t="s">
        <v>119</v>
      </c>
      <c r="J161" s="3">
        <v>14</v>
      </c>
      <c r="K161" s="3">
        <v>800</v>
      </c>
      <c r="L161" s="3">
        <v>10</v>
      </c>
      <c r="M161" s="3">
        <v>10080</v>
      </c>
      <c r="N161" s="24">
        <f>(Table1[[#This Row],[Profit (PKR)]]/Table1[[#This Row],[Total Revenue (PKR)]])</f>
        <v>0.16666666666666666</v>
      </c>
      <c r="O161" s="3">
        <v>600</v>
      </c>
      <c r="P161" s="3">
        <v>8400</v>
      </c>
      <c r="Q161" s="3">
        <v>1680</v>
      </c>
      <c r="R161" s="3" t="s">
        <v>22</v>
      </c>
      <c r="S161" s="3" t="str">
        <f>IF(AND(Table1[[#This Row],[Total Revenue (PKR)]]&gt;50000, Table1[[#This Row],[Discount %]]&lt;10),"High Value","Standard")</f>
        <v>Standard</v>
      </c>
      <c r="T161" s="3" t="s">
        <v>66</v>
      </c>
      <c r="U161" s="7" t="s">
        <v>24</v>
      </c>
      <c r="V161" s="20" t="s">
        <v>364</v>
      </c>
    </row>
    <row r="162" spans="1:22" x14ac:dyDescent="0.25">
      <c r="A162" s="4" t="s">
        <v>365</v>
      </c>
      <c r="B162" s="15">
        <f>DATEVALUE(Table1[[#This Row],[Date2]])</f>
        <v>45521</v>
      </c>
      <c r="C162" s="2" t="str">
        <f>TEXT(Table1[[#This Row],[Date]],"MMM")</f>
        <v>Aug</v>
      </c>
      <c r="D162" s="2" t="str">
        <f>"Q"&amp;ROUNDUP(MONTH(Table1[[#This Row],[Date]])/3,0)</f>
        <v>Q3</v>
      </c>
      <c r="E162" s="2">
        <f>YEAR(Table1[[#This Row],[Date]])</f>
        <v>2024</v>
      </c>
      <c r="F162" s="2" t="s">
        <v>33</v>
      </c>
      <c r="G162" s="2" t="s">
        <v>64</v>
      </c>
      <c r="H162" s="2" t="s">
        <v>20</v>
      </c>
      <c r="I162" s="2" t="s">
        <v>59</v>
      </c>
      <c r="J162" s="2">
        <v>7</v>
      </c>
      <c r="K162" s="2">
        <v>12000</v>
      </c>
      <c r="L162" s="2">
        <v>10</v>
      </c>
      <c r="M162" s="2">
        <v>75600</v>
      </c>
      <c r="N162" s="23">
        <f>(Table1[[#This Row],[Profit (PKR)]]/Table1[[#This Row],[Total Revenue (PKR)]])</f>
        <v>0.25925925925925924</v>
      </c>
      <c r="O162" s="2">
        <v>8000</v>
      </c>
      <c r="P162" s="2">
        <v>56000</v>
      </c>
      <c r="Q162" s="2">
        <v>19600</v>
      </c>
      <c r="R162" s="2" t="s">
        <v>42</v>
      </c>
      <c r="S162" s="2" t="str">
        <f>IF(AND(Table1[[#This Row],[Total Revenue (PKR)]]&gt;50000, Table1[[#This Row],[Discount %]]&lt;10),"High Value","Standard")</f>
        <v>Standard</v>
      </c>
      <c r="T162" s="2" t="s">
        <v>66</v>
      </c>
      <c r="U162" s="6" t="s">
        <v>86</v>
      </c>
      <c r="V162" s="19" t="s">
        <v>366</v>
      </c>
    </row>
    <row r="163" spans="1:22" x14ac:dyDescent="0.25">
      <c r="A163" s="5" t="s">
        <v>367</v>
      </c>
      <c r="B163" s="16">
        <f>DATEVALUE(Table1[[#This Row],[Date2]])</f>
        <v>45487</v>
      </c>
      <c r="C163" s="3" t="str">
        <f>TEXT(Table1[[#This Row],[Date]],"MMM")</f>
        <v>Jul</v>
      </c>
      <c r="D163" s="3" t="str">
        <f>"Q"&amp;ROUNDUP(MONTH(Table1[[#This Row],[Date]])/3,0)</f>
        <v>Q3</v>
      </c>
      <c r="E163" s="3">
        <f>YEAR(Table1[[#This Row],[Date]])</f>
        <v>2024</v>
      </c>
      <c r="F163" s="3" t="s">
        <v>63</v>
      </c>
      <c r="G163" s="3" t="s">
        <v>27</v>
      </c>
      <c r="H163" s="3" t="s">
        <v>34</v>
      </c>
      <c r="I163" s="3" t="s">
        <v>146</v>
      </c>
      <c r="J163" s="3">
        <v>20</v>
      </c>
      <c r="K163" s="3">
        <v>3500</v>
      </c>
      <c r="L163" s="3">
        <v>5</v>
      </c>
      <c r="M163" s="3">
        <v>66500</v>
      </c>
      <c r="N163" s="24">
        <f>(Table1[[#This Row],[Profit (PKR)]]/Table1[[#This Row],[Total Revenue (PKR)]])</f>
        <v>0.45864661654135336</v>
      </c>
      <c r="O163" s="3">
        <v>1800</v>
      </c>
      <c r="P163" s="3">
        <v>36000</v>
      </c>
      <c r="Q163" s="3">
        <v>30500</v>
      </c>
      <c r="R163" s="3" t="s">
        <v>42</v>
      </c>
      <c r="S163" s="3" t="str">
        <f>IF(AND(Table1[[#This Row],[Total Revenue (PKR)]]&gt;50000, Table1[[#This Row],[Discount %]]&lt;10),"High Value","Standard")</f>
        <v>High Value</v>
      </c>
      <c r="T163" s="3" t="s">
        <v>43</v>
      </c>
      <c r="U163" s="7" t="s">
        <v>24</v>
      </c>
      <c r="V163" s="20" t="s">
        <v>368</v>
      </c>
    </row>
    <row r="164" spans="1:22" x14ac:dyDescent="0.25">
      <c r="A164" s="4" t="s">
        <v>369</v>
      </c>
      <c r="B164" s="15">
        <f>DATEVALUE(Table1[[#This Row],[Date2]])</f>
        <v>45482</v>
      </c>
      <c r="C164" s="2" t="str">
        <f>TEXT(Table1[[#This Row],[Date]],"MMM")</f>
        <v>Jul</v>
      </c>
      <c r="D164" s="2" t="str">
        <f>"Q"&amp;ROUNDUP(MONTH(Table1[[#This Row],[Date]])/3,0)</f>
        <v>Q3</v>
      </c>
      <c r="E164" s="2">
        <f>YEAR(Table1[[#This Row],[Date]])</f>
        <v>2024</v>
      </c>
      <c r="F164" s="2" t="s">
        <v>63</v>
      </c>
      <c r="G164" s="2" t="s">
        <v>159</v>
      </c>
      <c r="H164" s="2" t="s">
        <v>53</v>
      </c>
      <c r="I164" s="2" t="s">
        <v>82</v>
      </c>
      <c r="J164" s="2">
        <v>10</v>
      </c>
      <c r="K164" s="2">
        <v>4000</v>
      </c>
      <c r="L164" s="2">
        <v>0</v>
      </c>
      <c r="M164" s="2">
        <v>40000</v>
      </c>
      <c r="N164" s="23">
        <f>(Table1[[#This Row],[Profit (PKR)]]/Table1[[#This Row],[Total Revenue (PKR)]])</f>
        <v>0.375</v>
      </c>
      <c r="O164" s="2">
        <v>2500</v>
      </c>
      <c r="P164" s="2">
        <v>25000</v>
      </c>
      <c r="Q164" s="2">
        <v>15000</v>
      </c>
      <c r="R164" s="2" t="s">
        <v>22</v>
      </c>
      <c r="S164" s="2" t="str">
        <f>IF(AND(Table1[[#This Row],[Total Revenue (PKR)]]&gt;50000, Table1[[#This Row],[Discount %]]&lt;10),"High Value","Standard")</f>
        <v>Standard</v>
      </c>
      <c r="T164" s="2" t="s">
        <v>55</v>
      </c>
      <c r="U164" s="6" t="s">
        <v>44</v>
      </c>
      <c r="V164" s="19" t="s">
        <v>370</v>
      </c>
    </row>
    <row r="165" spans="1:22" x14ac:dyDescent="0.25">
      <c r="A165" s="5" t="s">
        <v>371</v>
      </c>
      <c r="B165" s="16">
        <f>DATEVALUE(Table1[[#This Row],[Date2]])</f>
        <v>45554</v>
      </c>
      <c r="C165" s="3" t="str">
        <f>TEXT(Table1[[#This Row],[Date]],"MMM")</f>
        <v>Sep</v>
      </c>
      <c r="D165" s="3" t="str">
        <f>"Q"&amp;ROUNDUP(MONTH(Table1[[#This Row],[Date]])/3,0)</f>
        <v>Q3</v>
      </c>
      <c r="E165" s="3">
        <f>YEAR(Table1[[#This Row],[Date]])</f>
        <v>2024</v>
      </c>
      <c r="F165" s="3" t="s">
        <v>92</v>
      </c>
      <c r="G165" s="3" t="s">
        <v>27</v>
      </c>
      <c r="H165" s="3" t="s">
        <v>28</v>
      </c>
      <c r="I165" s="3" t="s">
        <v>116</v>
      </c>
      <c r="J165" s="3">
        <v>15</v>
      </c>
      <c r="K165" s="3">
        <v>85000</v>
      </c>
      <c r="L165" s="3">
        <v>10</v>
      </c>
      <c r="M165" s="3">
        <v>1147500</v>
      </c>
      <c r="N165" s="24">
        <f>(Table1[[#This Row],[Profit (PKR)]]/Table1[[#This Row],[Total Revenue (PKR)]])</f>
        <v>0.15032679738562091</v>
      </c>
      <c r="O165" s="3">
        <v>65000</v>
      </c>
      <c r="P165" s="3">
        <v>975000</v>
      </c>
      <c r="Q165" s="3">
        <v>172500</v>
      </c>
      <c r="R165" s="3" t="s">
        <v>22</v>
      </c>
      <c r="S165" s="3" t="str">
        <f>IF(AND(Table1[[#This Row],[Total Revenue (PKR)]]&gt;50000, Table1[[#This Row],[Discount %]]&lt;10),"High Value","Standard")</f>
        <v>Standard</v>
      </c>
      <c r="T165" s="3" t="s">
        <v>66</v>
      </c>
      <c r="U165" s="7" t="s">
        <v>44</v>
      </c>
      <c r="V165" s="20" t="s">
        <v>329</v>
      </c>
    </row>
    <row r="166" spans="1:22" x14ac:dyDescent="0.25">
      <c r="A166" s="4" t="s">
        <v>372</v>
      </c>
      <c r="B166" s="15">
        <f>DATEVALUE(Table1[[#This Row],[Date2]])</f>
        <v>45549</v>
      </c>
      <c r="C166" s="2" t="str">
        <f>TEXT(Table1[[#This Row],[Date]],"MMM")</f>
        <v>Sep</v>
      </c>
      <c r="D166" s="2" t="str">
        <f>"Q"&amp;ROUNDUP(MONTH(Table1[[#This Row],[Date]])/3,0)</f>
        <v>Q3</v>
      </c>
      <c r="E166" s="2">
        <f>YEAR(Table1[[#This Row],[Date]])</f>
        <v>2024</v>
      </c>
      <c r="F166" s="2" t="s">
        <v>100</v>
      </c>
      <c r="G166" s="2" t="s">
        <v>64</v>
      </c>
      <c r="H166" s="2" t="s">
        <v>93</v>
      </c>
      <c r="I166" s="2" t="s">
        <v>119</v>
      </c>
      <c r="J166" s="2">
        <v>12</v>
      </c>
      <c r="K166" s="2">
        <v>800</v>
      </c>
      <c r="L166" s="2">
        <v>5</v>
      </c>
      <c r="M166" s="2">
        <v>9120</v>
      </c>
      <c r="N166" s="23">
        <f>(Table1[[#This Row],[Profit (PKR)]]/Table1[[#This Row],[Total Revenue (PKR)]])</f>
        <v>0.21052631578947367</v>
      </c>
      <c r="O166" s="2">
        <v>600</v>
      </c>
      <c r="P166" s="2">
        <v>7200</v>
      </c>
      <c r="Q166" s="2">
        <v>1920</v>
      </c>
      <c r="R166" s="2" t="s">
        <v>22</v>
      </c>
      <c r="S166" s="2" t="str">
        <f>IF(AND(Table1[[#This Row],[Total Revenue (PKR)]]&gt;50000, Table1[[#This Row],[Discount %]]&lt;10),"High Value","Standard")</f>
        <v>Standard</v>
      </c>
      <c r="T166" s="2" t="s">
        <v>55</v>
      </c>
      <c r="U166" s="6" t="s">
        <v>95</v>
      </c>
      <c r="V166" s="19" t="s">
        <v>373</v>
      </c>
    </row>
    <row r="167" spans="1:22" x14ac:dyDescent="0.25">
      <c r="A167" s="5" t="s">
        <v>374</v>
      </c>
      <c r="B167" s="16">
        <f>DATEVALUE(Table1[[#This Row],[Date2]])</f>
        <v>45624</v>
      </c>
      <c r="C167" s="3" t="str">
        <f>TEXT(Table1[[#This Row],[Date]],"MMM")</f>
        <v>Nov</v>
      </c>
      <c r="D167" s="3" t="str">
        <f>"Q"&amp;ROUNDUP(MONTH(Table1[[#This Row],[Date]])/3,0)</f>
        <v>Q4</v>
      </c>
      <c r="E167" s="3">
        <f>YEAR(Table1[[#This Row],[Date]])</f>
        <v>2024</v>
      </c>
      <c r="F167" s="3" t="s">
        <v>100</v>
      </c>
      <c r="G167" s="3" t="s">
        <v>40</v>
      </c>
      <c r="H167" s="3" t="s">
        <v>34</v>
      </c>
      <c r="I167" s="3" t="s">
        <v>196</v>
      </c>
      <c r="J167" s="3">
        <v>10</v>
      </c>
      <c r="K167" s="3">
        <v>2500</v>
      </c>
      <c r="L167" s="3">
        <v>15</v>
      </c>
      <c r="M167" s="3">
        <v>21250</v>
      </c>
      <c r="N167" s="24">
        <f>(Table1[[#This Row],[Profit (PKR)]]/Table1[[#This Row],[Total Revenue (PKR)]])</f>
        <v>0.43529411764705883</v>
      </c>
      <c r="O167" s="3">
        <v>1200</v>
      </c>
      <c r="P167" s="3">
        <v>12000</v>
      </c>
      <c r="Q167" s="3">
        <v>9250</v>
      </c>
      <c r="R167" s="3" t="s">
        <v>22</v>
      </c>
      <c r="S167" s="3" t="str">
        <f>IF(AND(Table1[[#This Row],[Total Revenue (PKR)]]&gt;50000, Table1[[#This Row],[Discount %]]&lt;10),"High Value","Standard")</f>
        <v>Standard</v>
      </c>
      <c r="T167" s="3" t="s">
        <v>23</v>
      </c>
      <c r="U167" s="7" t="s">
        <v>44</v>
      </c>
      <c r="V167" s="20" t="s">
        <v>375</v>
      </c>
    </row>
    <row r="168" spans="1:22" x14ac:dyDescent="0.25">
      <c r="A168" s="4" t="s">
        <v>376</v>
      </c>
      <c r="B168" s="15">
        <f>DATEVALUE(Table1[[#This Row],[Date2]])</f>
        <v>45607</v>
      </c>
      <c r="C168" s="2" t="str">
        <f>TEXT(Table1[[#This Row],[Date]],"MMM")</f>
        <v>Nov</v>
      </c>
      <c r="D168" s="2" t="str">
        <f>"Q"&amp;ROUNDUP(MONTH(Table1[[#This Row],[Date]])/3,0)</f>
        <v>Q4</v>
      </c>
      <c r="E168" s="2">
        <f>YEAR(Table1[[#This Row],[Date]])</f>
        <v>2024</v>
      </c>
      <c r="F168" s="2" t="s">
        <v>104</v>
      </c>
      <c r="G168" s="2" t="s">
        <v>159</v>
      </c>
      <c r="H168" s="2" t="s">
        <v>28</v>
      </c>
      <c r="I168" s="2" t="s">
        <v>274</v>
      </c>
      <c r="J168" s="2">
        <v>7</v>
      </c>
      <c r="K168" s="2">
        <v>35000</v>
      </c>
      <c r="L168" s="2">
        <v>5</v>
      </c>
      <c r="M168" s="2">
        <v>232750</v>
      </c>
      <c r="N168" s="23">
        <f>(Table1[[#This Row],[Profit (PKR)]]/Table1[[#This Row],[Total Revenue (PKR)]])</f>
        <v>0.21804511278195488</v>
      </c>
      <c r="O168" s="2">
        <v>26000</v>
      </c>
      <c r="P168" s="2">
        <v>182000</v>
      </c>
      <c r="Q168" s="2">
        <v>50750</v>
      </c>
      <c r="R168" s="2" t="s">
        <v>42</v>
      </c>
      <c r="S168" s="2" t="str">
        <f>IF(AND(Table1[[#This Row],[Total Revenue (PKR)]]&gt;50000, Table1[[#This Row],[Discount %]]&lt;10),"High Value","Standard")</f>
        <v>High Value</v>
      </c>
      <c r="T168" s="2" t="s">
        <v>43</v>
      </c>
      <c r="U168" s="6" t="s">
        <v>86</v>
      </c>
      <c r="V168" s="19" t="s">
        <v>377</v>
      </c>
    </row>
    <row r="169" spans="1:22" x14ac:dyDescent="0.25">
      <c r="A169" s="5" t="s">
        <v>378</v>
      </c>
      <c r="B169" s="16">
        <f>DATEVALUE(Table1[[#This Row],[Date2]])</f>
        <v>45413</v>
      </c>
      <c r="C169" s="3" t="str">
        <f>TEXT(Table1[[#This Row],[Date]],"MMM")</f>
        <v>May</v>
      </c>
      <c r="D169" s="3" t="str">
        <f>"Q"&amp;ROUNDUP(MONTH(Table1[[#This Row],[Date]])/3,0)</f>
        <v>Q2</v>
      </c>
      <c r="E169" s="3">
        <f>YEAR(Table1[[#This Row],[Date]])</f>
        <v>2024</v>
      </c>
      <c r="F169" s="3" t="s">
        <v>39</v>
      </c>
      <c r="G169" s="3" t="s">
        <v>159</v>
      </c>
      <c r="H169" s="3" t="s">
        <v>28</v>
      </c>
      <c r="I169" s="3" t="s">
        <v>116</v>
      </c>
      <c r="J169" s="3">
        <v>14</v>
      </c>
      <c r="K169" s="3">
        <v>85000</v>
      </c>
      <c r="L169" s="3">
        <v>25</v>
      </c>
      <c r="M169" s="3">
        <v>892500</v>
      </c>
      <c r="N169" s="24">
        <f>(Table1[[#This Row],[Profit (PKR)]]/Table1[[#This Row],[Total Revenue (PKR)]])</f>
        <v>-1.9607843137254902E-2</v>
      </c>
      <c r="O169" s="3">
        <v>65000</v>
      </c>
      <c r="P169" s="3">
        <v>910000</v>
      </c>
      <c r="Q169" s="3">
        <v>-17500</v>
      </c>
      <c r="R169" s="3" t="s">
        <v>42</v>
      </c>
      <c r="S169" s="3" t="str">
        <f>IF(AND(Table1[[#This Row],[Total Revenue (PKR)]]&gt;50000, Table1[[#This Row],[Discount %]]&lt;10),"High Value","Standard")</f>
        <v>Standard</v>
      </c>
      <c r="T169" s="3" t="s">
        <v>43</v>
      </c>
      <c r="U169" s="7" t="s">
        <v>44</v>
      </c>
      <c r="V169" s="20" t="s">
        <v>148</v>
      </c>
    </row>
    <row r="170" spans="1:22" x14ac:dyDescent="0.25">
      <c r="A170" s="4" t="s">
        <v>379</v>
      </c>
      <c r="B170" s="15">
        <f>DATEVALUE(Table1[[#This Row],[Date2]])</f>
        <v>45547</v>
      </c>
      <c r="C170" s="2" t="str">
        <f>TEXT(Table1[[#This Row],[Date]],"MMM")</f>
        <v>Sep</v>
      </c>
      <c r="D170" s="2" t="str">
        <f>"Q"&amp;ROUNDUP(MONTH(Table1[[#This Row],[Date]])/3,0)</f>
        <v>Q3</v>
      </c>
      <c r="E170" s="2">
        <f>YEAR(Table1[[#This Row],[Date]])</f>
        <v>2024</v>
      </c>
      <c r="F170" s="2" t="s">
        <v>47</v>
      </c>
      <c r="G170" s="2" t="s">
        <v>19</v>
      </c>
      <c r="H170" s="2" t="s">
        <v>53</v>
      </c>
      <c r="I170" s="2" t="s">
        <v>101</v>
      </c>
      <c r="J170" s="2">
        <v>8</v>
      </c>
      <c r="K170" s="2">
        <v>1200</v>
      </c>
      <c r="L170" s="2">
        <v>25</v>
      </c>
      <c r="M170" s="2">
        <v>7200</v>
      </c>
      <c r="N170" s="23">
        <f>(Table1[[#This Row],[Profit (PKR)]]/Table1[[#This Row],[Total Revenue (PKR)]])</f>
        <v>0.22222222222222221</v>
      </c>
      <c r="O170" s="2">
        <v>700</v>
      </c>
      <c r="P170" s="2">
        <v>5600</v>
      </c>
      <c r="Q170" s="2">
        <v>1600</v>
      </c>
      <c r="R170" s="2" t="s">
        <v>22</v>
      </c>
      <c r="S170" s="2" t="str">
        <f>IF(AND(Table1[[#This Row],[Total Revenue (PKR)]]&gt;50000, Table1[[#This Row],[Discount %]]&lt;10),"High Value","Standard")</f>
        <v>Standard</v>
      </c>
      <c r="T170" s="2" t="s">
        <v>55</v>
      </c>
      <c r="U170" s="6" t="s">
        <v>44</v>
      </c>
      <c r="V170" s="19" t="s">
        <v>250</v>
      </c>
    </row>
    <row r="171" spans="1:22" x14ac:dyDescent="0.25">
      <c r="A171" s="5" t="s">
        <v>380</v>
      </c>
      <c r="B171" s="16">
        <f>DATEVALUE(Table1[[#This Row],[Date2]])</f>
        <v>45606</v>
      </c>
      <c r="C171" s="3" t="str">
        <f>TEXT(Table1[[#This Row],[Date]],"MMM")</f>
        <v>Nov</v>
      </c>
      <c r="D171" s="3" t="str">
        <f>"Q"&amp;ROUNDUP(MONTH(Table1[[#This Row],[Date]])/3,0)</f>
        <v>Q4</v>
      </c>
      <c r="E171" s="3">
        <f>YEAR(Table1[[#This Row],[Date]])</f>
        <v>2024</v>
      </c>
      <c r="F171" s="3" t="s">
        <v>100</v>
      </c>
      <c r="G171" s="3" t="s">
        <v>64</v>
      </c>
      <c r="H171" s="3" t="s">
        <v>53</v>
      </c>
      <c r="I171" s="3" t="s">
        <v>71</v>
      </c>
      <c r="J171" s="3">
        <v>6</v>
      </c>
      <c r="K171" s="3">
        <v>8000</v>
      </c>
      <c r="L171" s="3">
        <v>25</v>
      </c>
      <c r="M171" s="3">
        <v>36000</v>
      </c>
      <c r="N171" s="24">
        <f>(Table1[[#This Row],[Profit (PKR)]]/Table1[[#This Row],[Total Revenue (PKR)]])</f>
        <v>0.16666666666666666</v>
      </c>
      <c r="O171" s="3">
        <v>5000</v>
      </c>
      <c r="P171" s="3">
        <v>30000</v>
      </c>
      <c r="Q171" s="3">
        <v>6000</v>
      </c>
      <c r="R171" s="3" t="s">
        <v>22</v>
      </c>
      <c r="S171" s="3" t="str">
        <f>IF(AND(Table1[[#This Row],[Total Revenue (PKR)]]&gt;50000, Table1[[#This Row],[Discount %]]&lt;10),"High Value","Standard")</f>
        <v>Standard</v>
      </c>
      <c r="T171" s="3" t="s">
        <v>30</v>
      </c>
      <c r="U171" s="7" t="s">
        <v>56</v>
      </c>
      <c r="V171" s="20" t="s">
        <v>308</v>
      </c>
    </row>
    <row r="172" spans="1:22" x14ac:dyDescent="0.25">
      <c r="A172" s="4" t="s">
        <v>381</v>
      </c>
      <c r="B172" s="15">
        <f>DATEVALUE(Table1[[#This Row],[Date2]])</f>
        <v>45326</v>
      </c>
      <c r="C172" s="2" t="str">
        <f>TEXT(Table1[[#This Row],[Date]],"MMM")</f>
        <v>Feb</v>
      </c>
      <c r="D172" s="2" t="str">
        <f>"Q"&amp;ROUNDUP(MONTH(Table1[[#This Row],[Date]])/3,0)</f>
        <v>Q1</v>
      </c>
      <c r="E172" s="2">
        <f>YEAR(Table1[[#This Row],[Date]])</f>
        <v>2024</v>
      </c>
      <c r="F172" s="2" t="s">
        <v>63</v>
      </c>
      <c r="G172" s="2" t="s">
        <v>19</v>
      </c>
      <c r="H172" s="2" t="s">
        <v>93</v>
      </c>
      <c r="I172" s="2" t="s">
        <v>109</v>
      </c>
      <c r="J172" s="2">
        <v>2</v>
      </c>
      <c r="K172" s="2">
        <v>700</v>
      </c>
      <c r="L172" s="2">
        <v>25</v>
      </c>
      <c r="M172" s="2">
        <v>1050</v>
      </c>
      <c r="N172" s="23">
        <f>(Table1[[#This Row],[Profit (PKR)]]/Table1[[#This Row],[Total Revenue (PKR)]])</f>
        <v>4.7619047619047616E-2</v>
      </c>
      <c r="O172" s="2">
        <v>500</v>
      </c>
      <c r="P172" s="2">
        <v>1000</v>
      </c>
      <c r="Q172" s="2">
        <v>50</v>
      </c>
      <c r="R172" s="2" t="s">
        <v>42</v>
      </c>
      <c r="S172" s="2" t="str">
        <f>IF(AND(Table1[[#This Row],[Total Revenue (PKR)]]&gt;50000, Table1[[#This Row],[Discount %]]&lt;10),"High Value","Standard")</f>
        <v>Standard</v>
      </c>
      <c r="T172" s="2" t="s">
        <v>55</v>
      </c>
      <c r="U172" s="6" t="s">
        <v>44</v>
      </c>
      <c r="V172" s="19" t="s">
        <v>126</v>
      </c>
    </row>
    <row r="173" spans="1:22" x14ac:dyDescent="0.25">
      <c r="A173" s="5" t="s">
        <v>382</v>
      </c>
      <c r="B173" s="16">
        <f>DATEVALUE(Table1[[#This Row],[Date2]])</f>
        <v>45300</v>
      </c>
      <c r="C173" s="3" t="str">
        <f>TEXT(Table1[[#This Row],[Date]],"MMM")</f>
        <v>Jan</v>
      </c>
      <c r="D173" s="3" t="str">
        <f>"Q"&amp;ROUNDUP(MONTH(Table1[[#This Row],[Date]])/3,0)</f>
        <v>Q1</v>
      </c>
      <c r="E173" s="3">
        <f>YEAR(Table1[[#This Row],[Date]])</f>
        <v>2024</v>
      </c>
      <c r="F173" s="3" t="s">
        <v>100</v>
      </c>
      <c r="G173" s="3" t="s">
        <v>159</v>
      </c>
      <c r="H173" s="3" t="s">
        <v>20</v>
      </c>
      <c r="I173" s="3" t="s">
        <v>21</v>
      </c>
      <c r="J173" s="3">
        <v>4</v>
      </c>
      <c r="K173" s="3">
        <v>3500</v>
      </c>
      <c r="L173" s="3">
        <v>20</v>
      </c>
      <c r="M173" s="3">
        <v>11200</v>
      </c>
      <c r="N173" s="24">
        <f>(Table1[[#This Row],[Profit (PKR)]]/Table1[[#This Row],[Total Revenue (PKR)]])</f>
        <v>0.2857142857142857</v>
      </c>
      <c r="O173" s="3">
        <v>2000</v>
      </c>
      <c r="P173" s="3">
        <v>8000</v>
      </c>
      <c r="Q173" s="3">
        <v>3200</v>
      </c>
      <c r="R173" s="3" t="s">
        <v>42</v>
      </c>
      <c r="S173" s="3" t="str">
        <f>IF(AND(Table1[[#This Row],[Total Revenue (PKR)]]&gt;50000, Table1[[#This Row],[Discount %]]&lt;10),"High Value","Standard")</f>
        <v>Standard</v>
      </c>
      <c r="T173" s="3" t="s">
        <v>36</v>
      </c>
      <c r="U173" s="7" t="s">
        <v>44</v>
      </c>
      <c r="V173" s="20" t="s">
        <v>383</v>
      </c>
    </row>
    <row r="174" spans="1:22" x14ac:dyDescent="0.25">
      <c r="A174" s="4" t="s">
        <v>384</v>
      </c>
      <c r="B174" s="15">
        <f>DATEVALUE(Table1[[#This Row],[Date2]])</f>
        <v>45571</v>
      </c>
      <c r="C174" s="2" t="str">
        <f>TEXT(Table1[[#This Row],[Date]],"MMM")</f>
        <v>Oct</v>
      </c>
      <c r="D174" s="2" t="str">
        <f>"Q"&amp;ROUNDUP(MONTH(Table1[[#This Row],[Date]])/3,0)</f>
        <v>Q4</v>
      </c>
      <c r="E174" s="2">
        <f>YEAR(Table1[[#This Row],[Date]])</f>
        <v>2024</v>
      </c>
      <c r="F174" s="2" t="s">
        <v>100</v>
      </c>
      <c r="G174" s="2" t="s">
        <v>40</v>
      </c>
      <c r="H174" s="2" t="s">
        <v>93</v>
      </c>
      <c r="I174" s="2" t="s">
        <v>109</v>
      </c>
      <c r="J174" s="2">
        <v>6</v>
      </c>
      <c r="K174" s="2">
        <v>700</v>
      </c>
      <c r="L174" s="2">
        <v>5</v>
      </c>
      <c r="M174" s="2">
        <v>3990</v>
      </c>
      <c r="N174" s="23">
        <f>(Table1[[#This Row],[Profit (PKR)]]/Table1[[#This Row],[Total Revenue (PKR)]])</f>
        <v>0.24812030075187969</v>
      </c>
      <c r="O174" s="2">
        <v>500</v>
      </c>
      <c r="P174" s="2">
        <v>3000</v>
      </c>
      <c r="Q174" s="2">
        <v>990</v>
      </c>
      <c r="R174" s="2" t="s">
        <v>22</v>
      </c>
      <c r="S174" s="2" t="str">
        <f>IF(AND(Table1[[#This Row],[Total Revenue (PKR)]]&gt;50000, Table1[[#This Row],[Discount %]]&lt;10),"High Value","Standard")</f>
        <v>Standard</v>
      </c>
      <c r="T174" s="2" t="s">
        <v>23</v>
      </c>
      <c r="U174" s="6" t="s">
        <v>86</v>
      </c>
      <c r="V174" s="19" t="s">
        <v>26</v>
      </c>
    </row>
    <row r="175" spans="1:22" x14ac:dyDescent="0.25">
      <c r="A175" s="5" t="s">
        <v>385</v>
      </c>
      <c r="B175" s="16">
        <f>DATEVALUE(Table1[[#This Row],[Date2]])</f>
        <v>45526</v>
      </c>
      <c r="C175" s="3" t="str">
        <f>TEXT(Table1[[#This Row],[Date]],"MMM")</f>
        <v>Aug</v>
      </c>
      <c r="D175" s="3" t="str">
        <f>"Q"&amp;ROUNDUP(MONTH(Table1[[#This Row],[Date]])/3,0)</f>
        <v>Q3</v>
      </c>
      <c r="E175" s="3">
        <f>YEAR(Table1[[#This Row],[Date]])</f>
        <v>2024</v>
      </c>
      <c r="F175" s="3" t="s">
        <v>104</v>
      </c>
      <c r="G175" s="3" t="s">
        <v>48</v>
      </c>
      <c r="H175" s="3" t="s">
        <v>34</v>
      </c>
      <c r="I175" s="3" t="s">
        <v>196</v>
      </c>
      <c r="J175" s="3">
        <v>7</v>
      </c>
      <c r="K175" s="3">
        <v>2500</v>
      </c>
      <c r="L175" s="3">
        <v>0</v>
      </c>
      <c r="M175" s="3">
        <v>17500</v>
      </c>
      <c r="N175" s="24">
        <f>(Table1[[#This Row],[Profit (PKR)]]/Table1[[#This Row],[Total Revenue (PKR)]])</f>
        <v>0.52</v>
      </c>
      <c r="O175" s="3">
        <v>1200</v>
      </c>
      <c r="P175" s="3">
        <v>8400</v>
      </c>
      <c r="Q175" s="3">
        <v>9100</v>
      </c>
      <c r="R175" s="3" t="s">
        <v>42</v>
      </c>
      <c r="S175" s="3" t="str">
        <f>IF(AND(Table1[[#This Row],[Total Revenue (PKR)]]&gt;50000, Table1[[#This Row],[Discount %]]&lt;10),"High Value","Standard")</f>
        <v>Standard</v>
      </c>
      <c r="T175" s="3" t="s">
        <v>55</v>
      </c>
      <c r="U175" s="7" t="s">
        <v>44</v>
      </c>
      <c r="V175" s="20" t="s">
        <v>386</v>
      </c>
    </row>
    <row r="176" spans="1:22" x14ac:dyDescent="0.25">
      <c r="A176" s="4" t="s">
        <v>387</v>
      </c>
      <c r="B176" s="15">
        <f>DATEVALUE(Table1[[#This Row],[Date2]])</f>
        <v>45570</v>
      </c>
      <c r="C176" s="2" t="str">
        <f>TEXT(Table1[[#This Row],[Date]],"MMM")</f>
        <v>Oct</v>
      </c>
      <c r="D176" s="2" t="str">
        <f>"Q"&amp;ROUNDUP(MONTH(Table1[[#This Row],[Date]])/3,0)</f>
        <v>Q4</v>
      </c>
      <c r="E176" s="2">
        <f>YEAR(Table1[[#This Row],[Date]])</f>
        <v>2024</v>
      </c>
      <c r="F176" s="2" t="s">
        <v>122</v>
      </c>
      <c r="G176" s="2" t="s">
        <v>48</v>
      </c>
      <c r="H176" s="2" t="s">
        <v>28</v>
      </c>
      <c r="I176" s="2" t="s">
        <v>116</v>
      </c>
      <c r="J176" s="2">
        <v>10</v>
      </c>
      <c r="K176" s="2">
        <v>85000</v>
      </c>
      <c r="L176" s="2">
        <v>10</v>
      </c>
      <c r="M176" s="2">
        <v>765000</v>
      </c>
      <c r="N176" s="23">
        <f>(Table1[[#This Row],[Profit (PKR)]]/Table1[[#This Row],[Total Revenue (PKR)]])</f>
        <v>0.15032679738562091</v>
      </c>
      <c r="O176" s="2">
        <v>65000</v>
      </c>
      <c r="P176" s="2">
        <v>650000</v>
      </c>
      <c r="Q176" s="2">
        <v>115000</v>
      </c>
      <c r="R176" s="2" t="s">
        <v>22</v>
      </c>
      <c r="S176" s="2" t="str">
        <f>IF(AND(Table1[[#This Row],[Total Revenue (PKR)]]&gt;50000, Table1[[#This Row],[Discount %]]&lt;10),"High Value","Standard")</f>
        <v>Standard</v>
      </c>
      <c r="T176" s="2" t="s">
        <v>23</v>
      </c>
      <c r="U176" s="6" t="s">
        <v>44</v>
      </c>
      <c r="V176" s="19" t="s">
        <v>134</v>
      </c>
    </row>
    <row r="177" spans="1:22" x14ac:dyDescent="0.25">
      <c r="A177" s="5" t="s">
        <v>388</v>
      </c>
      <c r="B177" s="16">
        <f>DATEVALUE(Table1[[#This Row],[Date2]])</f>
        <v>45355</v>
      </c>
      <c r="C177" s="3" t="str">
        <f>TEXT(Table1[[#This Row],[Date]],"MMM")</f>
        <v>Mar</v>
      </c>
      <c r="D177" s="3" t="str">
        <f>"Q"&amp;ROUNDUP(MONTH(Table1[[#This Row],[Date]])/3,0)</f>
        <v>Q1</v>
      </c>
      <c r="E177" s="3">
        <f>YEAR(Table1[[#This Row],[Date]])</f>
        <v>2024</v>
      </c>
      <c r="F177" s="3" t="s">
        <v>100</v>
      </c>
      <c r="G177" s="3" t="s">
        <v>27</v>
      </c>
      <c r="H177" s="3" t="s">
        <v>93</v>
      </c>
      <c r="I177" s="3" t="s">
        <v>109</v>
      </c>
      <c r="J177" s="3">
        <v>13</v>
      </c>
      <c r="K177" s="3">
        <v>700</v>
      </c>
      <c r="L177" s="3">
        <v>10</v>
      </c>
      <c r="M177" s="3">
        <v>8190</v>
      </c>
      <c r="N177" s="24">
        <f>(Table1[[#This Row],[Profit (PKR)]]/Table1[[#This Row],[Total Revenue (PKR)]])</f>
        <v>0.20634920634920634</v>
      </c>
      <c r="O177" s="3">
        <v>500</v>
      </c>
      <c r="P177" s="3">
        <v>6500</v>
      </c>
      <c r="Q177" s="3">
        <v>1690</v>
      </c>
      <c r="R177" s="3" t="s">
        <v>22</v>
      </c>
      <c r="S177" s="3" t="str">
        <f>IF(AND(Table1[[#This Row],[Total Revenue (PKR)]]&gt;50000, Table1[[#This Row],[Discount %]]&lt;10),"High Value","Standard")</f>
        <v>Standard</v>
      </c>
      <c r="T177" s="3" t="s">
        <v>66</v>
      </c>
      <c r="U177" s="7" t="s">
        <v>24</v>
      </c>
      <c r="V177" s="20" t="s">
        <v>163</v>
      </c>
    </row>
    <row r="178" spans="1:22" x14ac:dyDescent="0.25">
      <c r="A178" s="4" t="s">
        <v>389</v>
      </c>
      <c r="B178" s="15">
        <f>DATEVALUE(Table1[[#This Row],[Date2]])</f>
        <v>45480</v>
      </c>
      <c r="C178" s="2" t="str">
        <f>TEXT(Table1[[#This Row],[Date]],"MMM")</f>
        <v>Jul</v>
      </c>
      <c r="D178" s="2" t="str">
        <f>"Q"&amp;ROUNDUP(MONTH(Table1[[#This Row],[Date]])/3,0)</f>
        <v>Q3</v>
      </c>
      <c r="E178" s="2">
        <f>YEAR(Table1[[#This Row],[Date]])</f>
        <v>2024</v>
      </c>
      <c r="F178" s="2" t="s">
        <v>63</v>
      </c>
      <c r="G178" s="2" t="s">
        <v>48</v>
      </c>
      <c r="H178" s="2" t="s">
        <v>28</v>
      </c>
      <c r="I178" s="2" t="s">
        <v>49</v>
      </c>
      <c r="J178" s="2">
        <v>3</v>
      </c>
      <c r="K178" s="2">
        <v>5000</v>
      </c>
      <c r="L178" s="2">
        <v>15</v>
      </c>
      <c r="M178" s="2">
        <v>12750</v>
      </c>
      <c r="N178" s="23">
        <f>(Table1[[#This Row],[Profit (PKR)]]/Table1[[#This Row],[Total Revenue (PKR)]])</f>
        <v>0.29411764705882354</v>
      </c>
      <c r="O178" s="2">
        <v>3000</v>
      </c>
      <c r="P178" s="2">
        <v>9000</v>
      </c>
      <c r="Q178" s="2">
        <v>3750</v>
      </c>
      <c r="R178" s="2" t="s">
        <v>22</v>
      </c>
      <c r="S178" s="2" t="str">
        <f>IF(AND(Table1[[#This Row],[Total Revenue (PKR)]]&gt;50000, Table1[[#This Row],[Discount %]]&lt;10),"High Value","Standard")</f>
        <v>Standard</v>
      </c>
      <c r="T178" s="2" t="s">
        <v>30</v>
      </c>
      <c r="U178" s="6" t="s">
        <v>44</v>
      </c>
      <c r="V178" s="19" t="s">
        <v>200</v>
      </c>
    </row>
    <row r="179" spans="1:22" x14ac:dyDescent="0.25">
      <c r="A179" s="5" t="s">
        <v>390</v>
      </c>
      <c r="B179" s="16">
        <f>DATEVALUE(Table1[[#This Row],[Date2]])</f>
        <v>45344</v>
      </c>
      <c r="C179" s="3" t="str">
        <f>TEXT(Table1[[#This Row],[Date]],"MMM")</f>
        <v>Feb</v>
      </c>
      <c r="D179" s="3" t="str">
        <f>"Q"&amp;ROUNDUP(MONTH(Table1[[#This Row],[Date]])/3,0)</f>
        <v>Q1</v>
      </c>
      <c r="E179" s="3">
        <f>YEAR(Table1[[#This Row],[Date]])</f>
        <v>2024</v>
      </c>
      <c r="F179" s="3" t="s">
        <v>18</v>
      </c>
      <c r="G179" s="3" t="s">
        <v>52</v>
      </c>
      <c r="H179" s="3" t="s">
        <v>20</v>
      </c>
      <c r="I179" s="3" t="s">
        <v>182</v>
      </c>
      <c r="J179" s="3">
        <v>15</v>
      </c>
      <c r="K179" s="3">
        <v>5000</v>
      </c>
      <c r="L179" s="3">
        <v>20</v>
      </c>
      <c r="M179" s="3">
        <v>60000</v>
      </c>
      <c r="N179" s="24">
        <f>(Table1[[#This Row],[Profit (PKR)]]/Table1[[#This Row],[Total Revenue (PKR)]])</f>
        <v>0.25</v>
      </c>
      <c r="O179" s="3">
        <v>3000</v>
      </c>
      <c r="P179" s="3">
        <v>45000</v>
      </c>
      <c r="Q179" s="3">
        <v>15000</v>
      </c>
      <c r="R179" s="3" t="s">
        <v>42</v>
      </c>
      <c r="S179" s="3" t="str">
        <f>IF(AND(Table1[[#This Row],[Total Revenue (PKR)]]&gt;50000, Table1[[#This Row],[Discount %]]&lt;10),"High Value","Standard")</f>
        <v>Standard</v>
      </c>
      <c r="T179" s="3" t="s">
        <v>36</v>
      </c>
      <c r="U179" s="7" t="s">
        <v>24</v>
      </c>
      <c r="V179" s="20" t="s">
        <v>391</v>
      </c>
    </row>
    <row r="180" spans="1:22" x14ac:dyDescent="0.25">
      <c r="A180" s="4" t="s">
        <v>392</v>
      </c>
      <c r="B180" s="15">
        <f>DATEVALUE(Table1[[#This Row],[Date2]])</f>
        <v>45471</v>
      </c>
      <c r="C180" s="2" t="str">
        <f>TEXT(Table1[[#This Row],[Date]],"MMM")</f>
        <v>Jun</v>
      </c>
      <c r="D180" s="2" t="str">
        <f>"Q"&amp;ROUNDUP(MONTH(Table1[[#This Row],[Date]])/3,0)</f>
        <v>Q2</v>
      </c>
      <c r="E180" s="2">
        <f>YEAR(Table1[[#This Row],[Date]])</f>
        <v>2024</v>
      </c>
      <c r="F180" s="2" t="s">
        <v>122</v>
      </c>
      <c r="G180" s="2" t="s">
        <v>19</v>
      </c>
      <c r="H180" s="2" t="s">
        <v>20</v>
      </c>
      <c r="I180" s="2" t="s">
        <v>137</v>
      </c>
      <c r="J180" s="2">
        <v>14</v>
      </c>
      <c r="K180" s="2">
        <v>15000</v>
      </c>
      <c r="L180" s="2">
        <v>10</v>
      </c>
      <c r="M180" s="2">
        <v>189000</v>
      </c>
      <c r="N180" s="23">
        <f>(Table1[[#This Row],[Profit (PKR)]]/Table1[[#This Row],[Total Revenue (PKR)]])</f>
        <v>0.25925925925925924</v>
      </c>
      <c r="O180" s="2">
        <v>10000</v>
      </c>
      <c r="P180" s="2">
        <v>140000</v>
      </c>
      <c r="Q180" s="2">
        <v>49000</v>
      </c>
      <c r="R180" s="2" t="s">
        <v>22</v>
      </c>
      <c r="S180" s="2" t="str">
        <f>IF(AND(Table1[[#This Row],[Total Revenue (PKR)]]&gt;50000, Table1[[#This Row],[Discount %]]&lt;10),"High Value","Standard")</f>
        <v>Standard</v>
      </c>
      <c r="T180" s="2" t="s">
        <v>43</v>
      </c>
      <c r="U180" s="6" t="s">
        <v>24</v>
      </c>
      <c r="V180" s="19" t="s">
        <v>357</v>
      </c>
    </row>
    <row r="181" spans="1:22" x14ac:dyDescent="0.25">
      <c r="A181" s="5" t="s">
        <v>393</v>
      </c>
      <c r="B181" s="16">
        <f>DATEVALUE(Table1[[#This Row],[Date2]])</f>
        <v>45499</v>
      </c>
      <c r="C181" s="3" t="str">
        <f>TEXT(Table1[[#This Row],[Date]],"MMM")</f>
        <v>Jul</v>
      </c>
      <c r="D181" s="3" t="str">
        <f>"Q"&amp;ROUNDUP(MONTH(Table1[[#This Row],[Date]])/3,0)</f>
        <v>Q3</v>
      </c>
      <c r="E181" s="3">
        <f>YEAR(Table1[[#This Row],[Date]])</f>
        <v>2024</v>
      </c>
      <c r="F181" s="3" t="s">
        <v>100</v>
      </c>
      <c r="G181" s="3" t="s">
        <v>40</v>
      </c>
      <c r="H181" s="3" t="s">
        <v>28</v>
      </c>
      <c r="I181" s="3" t="s">
        <v>116</v>
      </c>
      <c r="J181" s="3">
        <v>20</v>
      </c>
      <c r="K181" s="3">
        <v>85000</v>
      </c>
      <c r="L181" s="3">
        <v>25</v>
      </c>
      <c r="M181" s="3">
        <v>1275000</v>
      </c>
      <c r="N181" s="24">
        <f>(Table1[[#This Row],[Profit (PKR)]]/Table1[[#This Row],[Total Revenue (PKR)]])</f>
        <v>-1.9607843137254902E-2</v>
      </c>
      <c r="O181" s="3">
        <v>65000</v>
      </c>
      <c r="P181" s="3">
        <v>1300000</v>
      </c>
      <c r="Q181" s="3">
        <v>-25000</v>
      </c>
      <c r="R181" s="3" t="s">
        <v>42</v>
      </c>
      <c r="S181" s="3" t="str">
        <f>IF(AND(Table1[[#This Row],[Total Revenue (PKR)]]&gt;50000, Table1[[#This Row],[Discount %]]&lt;10),"High Value","Standard")</f>
        <v>Standard</v>
      </c>
      <c r="T181" s="3" t="s">
        <v>43</v>
      </c>
      <c r="U181" s="7" t="s">
        <v>44</v>
      </c>
      <c r="V181" s="20" t="s">
        <v>394</v>
      </c>
    </row>
    <row r="182" spans="1:22" x14ac:dyDescent="0.25">
      <c r="A182" s="4" t="s">
        <v>395</v>
      </c>
      <c r="B182" s="15">
        <f>DATEVALUE(Table1[[#This Row],[Date2]])</f>
        <v>45412</v>
      </c>
      <c r="C182" s="2" t="str">
        <f>TEXT(Table1[[#This Row],[Date]],"MMM")</f>
        <v>Apr</v>
      </c>
      <c r="D182" s="2" t="str">
        <f>"Q"&amp;ROUNDUP(MONTH(Table1[[#This Row],[Date]])/3,0)</f>
        <v>Q2</v>
      </c>
      <c r="E182" s="2">
        <f>YEAR(Table1[[#This Row],[Date]])</f>
        <v>2024</v>
      </c>
      <c r="F182" s="2" t="s">
        <v>100</v>
      </c>
      <c r="G182" s="2" t="s">
        <v>52</v>
      </c>
      <c r="H182" s="2" t="s">
        <v>93</v>
      </c>
      <c r="I182" s="2" t="s">
        <v>94</v>
      </c>
      <c r="J182" s="2">
        <v>2</v>
      </c>
      <c r="K182" s="2">
        <v>1200</v>
      </c>
      <c r="L182" s="2">
        <v>20</v>
      </c>
      <c r="M182" s="2">
        <v>1920</v>
      </c>
      <c r="N182" s="23">
        <f>(Table1[[#This Row],[Profit (PKR)]]/Table1[[#This Row],[Total Revenue (PKR)]])</f>
        <v>6.25E-2</v>
      </c>
      <c r="O182" s="2">
        <v>900</v>
      </c>
      <c r="P182" s="2">
        <v>1800</v>
      </c>
      <c r="Q182" s="2">
        <v>120</v>
      </c>
      <c r="R182" s="2" t="s">
        <v>22</v>
      </c>
      <c r="S182" s="2" t="str">
        <f>IF(AND(Table1[[#This Row],[Total Revenue (PKR)]]&gt;50000, Table1[[#This Row],[Discount %]]&lt;10),"High Value","Standard")</f>
        <v>Standard</v>
      </c>
      <c r="T182" s="2" t="s">
        <v>23</v>
      </c>
      <c r="U182" s="6" t="s">
        <v>44</v>
      </c>
      <c r="V182" s="19" t="s">
        <v>396</v>
      </c>
    </row>
    <row r="183" spans="1:22" x14ac:dyDescent="0.25">
      <c r="A183" s="5" t="s">
        <v>397</v>
      </c>
      <c r="B183" s="16">
        <f>DATEVALUE(Table1[[#This Row],[Date2]])</f>
        <v>45481</v>
      </c>
      <c r="C183" s="3" t="str">
        <f>TEXT(Table1[[#This Row],[Date]],"MMM")</f>
        <v>Jul</v>
      </c>
      <c r="D183" s="3" t="str">
        <f>"Q"&amp;ROUNDUP(MONTH(Table1[[#This Row],[Date]])/3,0)</f>
        <v>Q3</v>
      </c>
      <c r="E183" s="3">
        <f>YEAR(Table1[[#This Row],[Date]])</f>
        <v>2024</v>
      </c>
      <c r="F183" s="3" t="s">
        <v>100</v>
      </c>
      <c r="G183" s="3" t="s">
        <v>74</v>
      </c>
      <c r="H183" s="3" t="s">
        <v>28</v>
      </c>
      <c r="I183" s="3" t="s">
        <v>127</v>
      </c>
      <c r="J183" s="3">
        <v>5</v>
      </c>
      <c r="K183" s="3">
        <v>15000</v>
      </c>
      <c r="L183" s="3">
        <v>20</v>
      </c>
      <c r="M183" s="3">
        <v>60000</v>
      </c>
      <c r="N183" s="24">
        <f>(Table1[[#This Row],[Profit (PKR)]]/Table1[[#This Row],[Total Revenue (PKR)]])</f>
        <v>0.16666666666666666</v>
      </c>
      <c r="O183" s="3">
        <v>10000</v>
      </c>
      <c r="P183" s="3">
        <v>50000</v>
      </c>
      <c r="Q183" s="3">
        <v>10000</v>
      </c>
      <c r="R183" s="3" t="s">
        <v>42</v>
      </c>
      <c r="S183" s="3" t="str">
        <f>IF(AND(Table1[[#This Row],[Total Revenue (PKR)]]&gt;50000, Table1[[#This Row],[Discount %]]&lt;10),"High Value","Standard")</f>
        <v>Standard</v>
      </c>
      <c r="T183" s="3" t="s">
        <v>66</v>
      </c>
      <c r="U183" s="7" t="s">
        <v>44</v>
      </c>
      <c r="V183" s="20" t="s">
        <v>398</v>
      </c>
    </row>
    <row r="184" spans="1:22" x14ac:dyDescent="0.25">
      <c r="A184" s="4" t="s">
        <v>399</v>
      </c>
      <c r="B184" s="15">
        <f>DATEVALUE(Table1[[#This Row],[Date2]])</f>
        <v>45434</v>
      </c>
      <c r="C184" s="2" t="str">
        <f>TEXT(Table1[[#This Row],[Date]],"MMM")</f>
        <v>May</v>
      </c>
      <c r="D184" s="2" t="str">
        <f>"Q"&amp;ROUNDUP(MONTH(Table1[[#This Row],[Date]])/3,0)</f>
        <v>Q2</v>
      </c>
      <c r="E184" s="2">
        <f>YEAR(Table1[[#This Row],[Date]])</f>
        <v>2024</v>
      </c>
      <c r="F184" s="2" t="s">
        <v>33</v>
      </c>
      <c r="G184" s="2" t="s">
        <v>159</v>
      </c>
      <c r="H184" s="2" t="s">
        <v>28</v>
      </c>
      <c r="I184" s="2" t="s">
        <v>116</v>
      </c>
      <c r="J184" s="2">
        <v>16</v>
      </c>
      <c r="K184" s="2">
        <v>85000</v>
      </c>
      <c r="L184" s="2">
        <v>20</v>
      </c>
      <c r="M184" s="2">
        <v>1088000</v>
      </c>
      <c r="N184" s="23">
        <f>(Table1[[#This Row],[Profit (PKR)]]/Table1[[#This Row],[Total Revenue (PKR)]])</f>
        <v>4.4117647058823532E-2</v>
      </c>
      <c r="O184" s="2">
        <v>65000</v>
      </c>
      <c r="P184" s="2">
        <v>1040000</v>
      </c>
      <c r="Q184" s="2">
        <v>48000</v>
      </c>
      <c r="R184" s="2" t="s">
        <v>42</v>
      </c>
      <c r="S184" s="2" t="str">
        <f>IF(AND(Table1[[#This Row],[Total Revenue (PKR)]]&gt;50000, Table1[[#This Row],[Discount %]]&lt;10),"High Value","Standard")</f>
        <v>Standard</v>
      </c>
      <c r="T184" s="2" t="s">
        <v>30</v>
      </c>
      <c r="U184" s="6" t="s">
        <v>44</v>
      </c>
      <c r="V184" s="19" t="s">
        <v>321</v>
      </c>
    </row>
    <row r="185" spans="1:22" x14ac:dyDescent="0.25">
      <c r="A185" s="5" t="s">
        <v>400</v>
      </c>
      <c r="B185" s="16">
        <f>DATEVALUE(Table1[[#This Row],[Date2]])</f>
        <v>45425</v>
      </c>
      <c r="C185" s="3" t="str">
        <f>TEXT(Table1[[#This Row],[Date]],"MMM")</f>
        <v>May</v>
      </c>
      <c r="D185" s="3" t="str">
        <f>"Q"&amp;ROUNDUP(MONTH(Table1[[#This Row],[Date]])/3,0)</f>
        <v>Q2</v>
      </c>
      <c r="E185" s="3">
        <f>YEAR(Table1[[#This Row],[Date]])</f>
        <v>2024</v>
      </c>
      <c r="F185" s="3" t="s">
        <v>122</v>
      </c>
      <c r="G185" s="3" t="s">
        <v>64</v>
      </c>
      <c r="H185" s="3" t="s">
        <v>53</v>
      </c>
      <c r="I185" s="3" t="s">
        <v>85</v>
      </c>
      <c r="J185" s="3">
        <v>16</v>
      </c>
      <c r="K185" s="3">
        <v>1500</v>
      </c>
      <c r="L185" s="3">
        <v>5</v>
      </c>
      <c r="M185" s="3">
        <v>22800</v>
      </c>
      <c r="N185" s="24">
        <f>(Table1[[#This Row],[Profit (PKR)]]/Table1[[#This Row],[Total Revenue (PKR)]])</f>
        <v>0.43859649122807015</v>
      </c>
      <c r="O185" s="3">
        <v>800</v>
      </c>
      <c r="P185" s="3">
        <v>12800</v>
      </c>
      <c r="Q185" s="3">
        <v>10000</v>
      </c>
      <c r="R185" s="3" t="s">
        <v>22</v>
      </c>
      <c r="S185" s="3" t="str">
        <f>IF(AND(Table1[[#This Row],[Total Revenue (PKR)]]&gt;50000, Table1[[#This Row],[Discount %]]&lt;10),"High Value","Standard")</f>
        <v>Standard</v>
      </c>
      <c r="T185" s="3" t="s">
        <v>36</v>
      </c>
      <c r="U185" s="7" t="s">
        <v>86</v>
      </c>
      <c r="V185" s="20" t="s">
        <v>156</v>
      </c>
    </row>
    <row r="186" spans="1:22" x14ac:dyDescent="0.25">
      <c r="A186" s="4" t="s">
        <v>401</v>
      </c>
      <c r="B186" s="15">
        <f>DATEVALUE(Table1[[#This Row],[Date2]])</f>
        <v>45523</v>
      </c>
      <c r="C186" s="2" t="str">
        <f>TEXT(Table1[[#This Row],[Date]],"MMM")</f>
        <v>Aug</v>
      </c>
      <c r="D186" s="2" t="str">
        <f>"Q"&amp;ROUNDUP(MONTH(Table1[[#This Row],[Date]])/3,0)</f>
        <v>Q3</v>
      </c>
      <c r="E186" s="2">
        <f>YEAR(Table1[[#This Row],[Date]])</f>
        <v>2024</v>
      </c>
      <c r="F186" s="2" t="s">
        <v>92</v>
      </c>
      <c r="G186" s="2" t="s">
        <v>74</v>
      </c>
      <c r="H186" s="2" t="s">
        <v>28</v>
      </c>
      <c r="I186" s="2" t="s">
        <v>274</v>
      </c>
      <c r="J186" s="2">
        <v>12</v>
      </c>
      <c r="K186" s="2">
        <v>35000</v>
      </c>
      <c r="L186" s="2">
        <v>25</v>
      </c>
      <c r="M186" s="2">
        <v>315000</v>
      </c>
      <c r="N186" s="23">
        <f>(Table1[[#This Row],[Profit (PKR)]]/Table1[[#This Row],[Total Revenue (PKR)]])</f>
        <v>9.5238095238095247E-3</v>
      </c>
      <c r="O186" s="2">
        <v>26000</v>
      </c>
      <c r="P186" s="2">
        <v>312000</v>
      </c>
      <c r="Q186" s="2">
        <v>3000</v>
      </c>
      <c r="R186" s="2" t="s">
        <v>22</v>
      </c>
      <c r="S186" s="2" t="str">
        <f>IF(AND(Table1[[#This Row],[Total Revenue (PKR)]]&gt;50000, Table1[[#This Row],[Discount %]]&lt;10),"High Value","Standard")</f>
        <v>Standard</v>
      </c>
      <c r="T186" s="2" t="s">
        <v>30</v>
      </c>
      <c r="U186" s="6" t="s">
        <v>44</v>
      </c>
      <c r="V186" s="19" t="s">
        <v>402</v>
      </c>
    </row>
    <row r="187" spans="1:22" x14ac:dyDescent="0.25">
      <c r="A187" s="5" t="s">
        <v>403</v>
      </c>
      <c r="B187" s="16">
        <f>DATEVALUE(Table1[[#This Row],[Date2]])</f>
        <v>45445</v>
      </c>
      <c r="C187" s="3" t="str">
        <f>TEXT(Table1[[#This Row],[Date]],"MMM")</f>
        <v>Jun</v>
      </c>
      <c r="D187" s="3" t="str">
        <f>"Q"&amp;ROUNDUP(MONTH(Table1[[#This Row],[Date]])/3,0)</f>
        <v>Q2</v>
      </c>
      <c r="E187" s="3">
        <f>YEAR(Table1[[#This Row],[Date]])</f>
        <v>2024</v>
      </c>
      <c r="F187" s="3" t="s">
        <v>92</v>
      </c>
      <c r="G187" s="3" t="s">
        <v>40</v>
      </c>
      <c r="H187" s="3" t="s">
        <v>20</v>
      </c>
      <c r="I187" s="3" t="s">
        <v>137</v>
      </c>
      <c r="J187" s="3">
        <v>8</v>
      </c>
      <c r="K187" s="3">
        <v>15000</v>
      </c>
      <c r="L187" s="3">
        <v>0</v>
      </c>
      <c r="M187" s="3">
        <v>120000</v>
      </c>
      <c r="N187" s="24">
        <f>(Table1[[#This Row],[Profit (PKR)]]/Table1[[#This Row],[Total Revenue (PKR)]])</f>
        <v>0.33333333333333331</v>
      </c>
      <c r="O187" s="3">
        <v>10000</v>
      </c>
      <c r="P187" s="3">
        <v>80000</v>
      </c>
      <c r="Q187" s="3">
        <v>40000</v>
      </c>
      <c r="R187" s="3" t="s">
        <v>22</v>
      </c>
      <c r="S187" s="3" t="str">
        <f>IF(AND(Table1[[#This Row],[Total Revenue (PKR)]]&gt;50000, Table1[[#This Row],[Discount %]]&lt;10),"High Value","Standard")</f>
        <v>High Value</v>
      </c>
      <c r="T187" s="3" t="s">
        <v>36</v>
      </c>
      <c r="U187" s="7" t="s">
        <v>44</v>
      </c>
      <c r="V187" s="20" t="s">
        <v>404</v>
      </c>
    </row>
    <row r="188" spans="1:22" x14ac:dyDescent="0.25">
      <c r="A188" s="4" t="s">
        <v>405</v>
      </c>
      <c r="B188" s="15">
        <f>DATEVALUE(Table1[[#This Row],[Date2]])</f>
        <v>45544</v>
      </c>
      <c r="C188" s="2" t="str">
        <f>TEXT(Table1[[#This Row],[Date]],"MMM")</f>
        <v>Sep</v>
      </c>
      <c r="D188" s="2" t="str">
        <f>"Q"&amp;ROUNDUP(MONTH(Table1[[#This Row],[Date]])/3,0)</f>
        <v>Q3</v>
      </c>
      <c r="E188" s="2">
        <f>YEAR(Table1[[#This Row],[Date]])</f>
        <v>2024</v>
      </c>
      <c r="F188" s="2" t="s">
        <v>104</v>
      </c>
      <c r="G188" s="2" t="s">
        <v>52</v>
      </c>
      <c r="H188" s="2" t="s">
        <v>53</v>
      </c>
      <c r="I188" s="2" t="s">
        <v>101</v>
      </c>
      <c r="J188" s="2">
        <v>12</v>
      </c>
      <c r="K188" s="2">
        <v>1200</v>
      </c>
      <c r="L188" s="2">
        <v>15</v>
      </c>
      <c r="M188" s="2">
        <v>12240</v>
      </c>
      <c r="N188" s="23">
        <f>(Table1[[#This Row],[Profit (PKR)]]/Table1[[#This Row],[Total Revenue (PKR)]])</f>
        <v>0.31372549019607843</v>
      </c>
      <c r="O188" s="2">
        <v>700</v>
      </c>
      <c r="P188" s="2">
        <v>8400</v>
      </c>
      <c r="Q188" s="2">
        <v>3840</v>
      </c>
      <c r="R188" s="2" t="s">
        <v>22</v>
      </c>
      <c r="S188" s="2" t="str">
        <f>IF(AND(Table1[[#This Row],[Total Revenue (PKR)]]&gt;50000, Table1[[#This Row],[Discount %]]&lt;10),"High Value","Standard")</f>
        <v>Standard</v>
      </c>
      <c r="T188" s="2" t="s">
        <v>30</v>
      </c>
      <c r="U188" s="6" t="s">
        <v>86</v>
      </c>
      <c r="V188" s="19" t="s">
        <v>406</v>
      </c>
    </row>
    <row r="189" spans="1:22" x14ac:dyDescent="0.25">
      <c r="A189" s="5" t="s">
        <v>407</v>
      </c>
      <c r="B189" s="16">
        <f>DATEVALUE(Table1[[#This Row],[Date2]])</f>
        <v>45325</v>
      </c>
      <c r="C189" s="3" t="str">
        <f>TEXT(Table1[[#This Row],[Date]],"MMM")</f>
        <v>Feb</v>
      </c>
      <c r="D189" s="3" t="str">
        <f>"Q"&amp;ROUNDUP(MONTH(Table1[[#This Row],[Date]])/3,0)</f>
        <v>Q1</v>
      </c>
      <c r="E189" s="3">
        <f>YEAR(Table1[[#This Row],[Date]])</f>
        <v>2024</v>
      </c>
      <c r="F189" s="3" t="s">
        <v>39</v>
      </c>
      <c r="G189" s="3" t="s">
        <v>27</v>
      </c>
      <c r="H189" s="3" t="s">
        <v>93</v>
      </c>
      <c r="I189" s="3" t="s">
        <v>94</v>
      </c>
      <c r="J189" s="3">
        <v>14</v>
      </c>
      <c r="K189" s="3">
        <v>1200</v>
      </c>
      <c r="L189" s="3">
        <v>15</v>
      </c>
      <c r="M189" s="3">
        <v>14280</v>
      </c>
      <c r="N189" s="24">
        <f>(Table1[[#This Row],[Profit (PKR)]]/Table1[[#This Row],[Total Revenue (PKR)]])</f>
        <v>0.11764705882352941</v>
      </c>
      <c r="O189" s="3">
        <v>900</v>
      </c>
      <c r="P189" s="3">
        <v>12600</v>
      </c>
      <c r="Q189" s="3">
        <v>1680</v>
      </c>
      <c r="R189" s="3" t="s">
        <v>22</v>
      </c>
      <c r="S189" s="3" t="str">
        <f>IF(AND(Table1[[#This Row],[Total Revenue (PKR)]]&gt;50000, Table1[[#This Row],[Discount %]]&lt;10),"High Value","Standard")</f>
        <v>Standard</v>
      </c>
      <c r="T189" s="3" t="s">
        <v>36</v>
      </c>
      <c r="U189" s="7" t="s">
        <v>56</v>
      </c>
      <c r="V189" s="20" t="s">
        <v>408</v>
      </c>
    </row>
    <row r="190" spans="1:22" x14ac:dyDescent="0.25">
      <c r="A190" s="4" t="s">
        <v>409</v>
      </c>
      <c r="B190" s="15">
        <f>DATEVALUE(Table1[[#This Row],[Date2]])</f>
        <v>45620</v>
      </c>
      <c r="C190" s="2" t="str">
        <f>TEXT(Table1[[#This Row],[Date]],"MMM")</f>
        <v>Nov</v>
      </c>
      <c r="D190" s="2" t="str">
        <f>"Q"&amp;ROUNDUP(MONTH(Table1[[#This Row],[Date]])/3,0)</f>
        <v>Q4</v>
      </c>
      <c r="E190" s="2">
        <f>YEAR(Table1[[#This Row],[Date]])</f>
        <v>2024</v>
      </c>
      <c r="F190" s="2" t="s">
        <v>18</v>
      </c>
      <c r="G190" s="2" t="s">
        <v>74</v>
      </c>
      <c r="H190" s="2" t="s">
        <v>93</v>
      </c>
      <c r="I190" s="2" t="s">
        <v>94</v>
      </c>
      <c r="J190" s="2">
        <v>12</v>
      </c>
      <c r="K190" s="2">
        <v>1200</v>
      </c>
      <c r="L190" s="2">
        <v>5</v>
      </c>
      <c r="M190" s="2">
        <v>13680</v>
      </c>
      <c r="N190" s="23">
        <f>(Table1[[#This Row],[Profit (PKR)]]/Table1[[#This Row],[Total Revenue (PKR)]])</f>
        <v>0.21052631578947367</v>
      </c>
      <c r="O190" s="2">
        <v>900</v>
      </c>
      <c r="P190" s="2">
        <v>10800</v>
      </c>
      <c r="Q190" s="2">
        <v>2880</v>
      </c>
      <c r="R190" s="2" t="s">
        <v>22</v>
      </c>
      <c r="S190" s="2" t="str">
        <f>IF(AND(Table1[[#This Row],[Total Revenue (PKR)]]&gt;50000, Table1[[#This Row],[Discount %]]&lt;10),"High Value","Standard")</f>
        <v>Standard</v>
      </c>
      <c r="T190" s="2" t="s">
        <v>36</v>
      </c>
      <c r="U190" s="6" t="s">
        <v>44</v>
      </c>
      <c r="V190" s="19" t="s">
        <v>410</v>
      </c>
    </row>
    <row r="191" spans="1:22" x14ac:dyDescent="0.25">
      <c r="A191" s="5" t="s">
        <v>411</v>
      </c>
      <c r="B191" s="16">
        <f>DATEVALUE(Table1[[#This Row],[Date2]])</f>
        <v>45320</v>
      </c>
      <c r="C191" s="3" t="str">
        <f>TEXT(Table1[[#This Row],[Date]],"MMM")</f>
        <v>Jan</v>
      </c>
      <c r="D191" s="3" t="str">
        <f>"Q"&amp;ROUNDUP(MONTH(Table1[[#This Row],[Date]])/3,0)</f>
        <v>Q1</v>
      </c>
      <c r="E191" s="3">
        <f>YEAR(Table1[[#This Row],[Date]])</f>
        <v>2024</v>
      </c>
      <c r="F191" s="3" t="s">
        <v>18</v>
      </c>
      <c r="G191" s="3" t="s">
        <v>40</v>
      </c>
      <c r="H191" s="3" t="s">
        <v>20</v>
      </c>
      <c r="I191" s="3" t="s">
        <v>21</v>
      </c>
      <c r="J191" s="3">
        <v>6</v>
      </c>
      <c r="K191" s="3">
        <v>3500</v>
      </c>
      <c r="L191" s="3">
        <v>10</v>
      </c>
      <c r="M191" s="3">
        <v>18900</v>
      </c>
      <c r="N191" s="24">
        <f>(Table1[[#This Row],[Profit (PKR)]]/Table1[[#This Row],[Total Revenue (PKR)]])</f>
        <v>0.36507936507936506</v>
      </c>
      <c r="O191" s="3">
        <v>2000</v>
      </c>
      <c r="P191" s="3">
        <v>12000</v>
      </c>
      <c r="Q191" s="3">
        <v>6900</v>
      </c>
      <c r="R191" s="3" t="s">
        <v>22</v>
      </c>
      <c r="S191" s="3" t="str">
        <f>IF(AND(Table1[[#This Row],[Total Revenue (PKR)]]&gt;50000, Table1[[#This Row],[Discount %]]&lt;10),"High Value","Standard")</f>
        <v>Standard</v>
      </c>
      <c r="T191" s="3" t="s">
        <v>55</v>
      </c>
      <c r="U191" s="7" t="s">
        <v>95</v>
      </c>
      <c r="V191" s="20" t="s">
        <v>412</v>
      </c>
    </row>
    <row r="192" spans="1:22" x14ac:dyDescent="0.25">
      <c r="A192" s="4" t="s">
        <v>413</v>
      </c>
      <c r="B192" s="15">
        <f>DATEVALUE(Table1[[#This Row],[Date2]])</f>
        <v>45557</v>
      </c>
      <c r="C192" s="2" t="str">
        <f>TEXT(Table1[[#This Row],[Date]],"MMM")</f>
        <v>Sep</v>
      </c>
      <c r="D192" s="2" t="str">
        <f>"Q"&amp;ROUNDUP(MONTH(Table1[[#This Row],[Date]])/3,0)</f>
        <v>Q3</v>
      </c>
      <c r="E192" s="2">
        <f>YEAR(Table1[[#This Row],[Date]])</f>
        <v>2024</v>
      </c>
      <c r="F192" s="2" t="s">
        <v>39</v>
      </c>
      <c r="G192" s="2" t="s">
        <v>159</v>
      </c>
      <c r="H192" s="2" t="s">
        <v>20</v>
      </c>
      <c r="I192" s="2" t="s">
        <v>21</v>
      </c>
      <c r="J192" s="2">
        <v>18</v>
      </c>
      <c r="K192" s="2">
        <v>3500</v>
      </c>
      <c r="L192" s="2">
        <v>10</v>
      </c>
      <c r="M192" s="2">
        <v>56700</v>
      </c>
      <c r="N192" s="23">
        <f>(Table1[[#This Row],[Profit (PKR)]]/Table1[[#This Row],[Total Revenue (PKR)]])</f>
        <v>0.36507936507936506</v>
      </c>
      <c r="O192" s="2">
        <v>2000</v>
      </c>
      <c r="P192" s="2">
        <v>36000</v>
      </c>
      <c r="Q192" s="2">
        <v>20700</v>
      </c>
      <c r="R192" s="2" t="s">
        <v>22</v>
      </c>
      <c r="S192" s="2" t="str">
        <f>IF(AND(Table1[[#This Row],[Total Revenue (PKR)]]&gt;50000, Table1[[#This Row],[Discount %]]&lt;10),"High Value","Standard")</f>
        <v>Standard</v>
      </c>
      <c r="T192" s="2" t="s">
        <v>23</v>
      </c>
      <c r="U192" s="6" t="s">
        <v>44</v>
      </c>
      <c r="V192" s="19" t="s">
        <v>414</v>
      </c>
    </row>
    <row r="193" spans="1:22" x14ac:dyDescent="0.25">
      <c r="A193" s="5" t="s">
        <v>415</v>
      </c>
      <c r="B193" s="16">
        <f>DATEVALUE(Table1[[#This Row],[Date2]])</f>
        <v>45565</v>
      </c>
      <c r="C193" s="3" t="str">
        <f>TEXT(Table1[[#This Row],[Date]],"MMM")</f>
        <v>Sep</v>
      </c>
      <c r="D193" s="3" t="str">
        <f>"Q"&amp;ROUNDUP(MONTH(Table1[[#This Row],[Date]])/3,0)</f>
        <v>Q3</v>
      </c>
      <c r="E193" s="3">
        <f>YEAR(Table1[[#This Row],[Date]])</f>
        <v>2024</v>
      </c>
      <c r="F193" s="3" t="s">
        <v>18</v>
      </c>
      <c r="G193" s="3" t="s">
        <v>40</v>
      </c>
      <c r="H193" s="3" t="s">
        <v>53</v>
      </c>
      <c r="I193" s="3" t="s">
        <v>101</v>
      </c>
      <c r="J193" s="3">
        <v>5</v>
      </c>
      <c r="K193" s="3">
        <v>1200</v>
      </c>
      <c r="L193" s="3">
        <v>5</v>
      </c>
      <c r="M193" s="3">
        <v>5700</v>
      </c>
      <c r="N193" s="24">
        <f>(Table1[[#This Row],[Profit (PKR)]]/Table1[[#This Row],[Total Revenue (PKR)]])</f>
        <v>0.38596491228070173</v>
      </c>
      <c r="O193" s="3">
        <v>700</v>
      </c>
      <c r="P193" s="3">
        <v>3500</v>
      </c>
      <c r="Q193" s="3">
        <v>2200</v>
      </c>
      <c r="R193" s="3" t="s">
        <v>42</v>
      </c>
      <c r="S193" s="3" t="str">
        <f>IF(AND(Table1[[#This Row],[Total Revenue (PKR)]]&gt;50000, Table1[[#This Row],[Discount %]]&lt;10),"High Value","Standard")</f>
        <v>Standard</v>
      </c>
      <c r="T193" s="3" t="s">
        <v>30</v>
      </c>
      <c r="U193" s="7" t="s">
        <v>44</v>
      </c>
      <c r="V193" s="20" t="s">
        <v>416</v>
      </c>
    </row>
    <row r="194" spans="1:22" x14ac:dyDescent="0.25">
      <c r="A194" s="4" t="s">
        <v>417</v>
      </c>
      <c r="B194" s="15">
        <f>DATEVALUE(Table1[[#This Row],[Date2]])</f>
        <v>45306</v>
      </c>
      <c r="C194" s="2" t="str">
        <f>TEXT(Table1[[#This Row],[Date]],"MMM")</f>
        <v>Jan</v>
      </c>
      <c r="D194" s="2" t="str">
        <f>"Q"&amp;ROUNDUP(MONTH(Table1[[#This Row],[Date]])/3,0)</f>
        <v>Q1</v>
      </c>
      <c r="E194" s="2">
        <f>YEAR(Table1[[#This Row],[Date]])</f>
        <v>2024</v>
      </c>
      <c r="F194" s="2" t="s">
        <v>18</v>
      </c>
      <c r="G194" s="2" t="s">
        <v>19</v>
      </c>
      <c r="H194" s="2" t="s">
        <v>53</v>
      </c>
      <c r="I194" s="2" t="s">
        <v>85</v>
      </c>
      <c r="J194" s="2">
        <v>7</v>
      </c>
      <c r="K194" s="2">
        <v>1500</v>
      </c>
      <c r="L194" s="2">
        <v>20</v>
      </c>
      <c r="M194" s="2">
        <v>8400</v>
      </c>
      <c r="N194" s="23">
        <f>(Table1[[#This Row],[Profit (PKR)]]/Table1[[#This Row],[Total Revenue (PKR)]])</f>
        <v>0.33333333333333331</v>
      </c>
      <c r="O194" s="2">
        <v>800</v>
      </c>
      <c r="P194" s="2">
        <v>5600</v>
      </c>
      <c r="Q194" s="2">
        <v>2800</v>
      </c>
      <c r="R194" s="2" t="s">
        <v>42</v>
      </c>
      <c r="S194" s="2" t="str">
        <f>IF(AND(Table1[[#This Row],[Total Revenue (PKR)]]&gt;50000, Table1[[#This Row],[Discount %]]&lt;10),"High Value","Standard")</f>
        <v>Standard</v>
      </c>
      <c r="T194" s="2" t="s">
        <v>30</v>
      </c>
      <c r="U194" s="6" t="s">
        <v>24</v>
      </c>
      <c r="V194" s="19" t="s">
        <v>273</v>
      </c>
    </row>
    <row r="195" spans="1:22" x14ac:dyDescent="0.25">
      <c r="A195" s="5" t="s">
        <v>418</v>
      </c>
      <c r="B195" s="16">
        <f>DATEVALUE(Table1[[#This Row],[Date2]])</f>
        <v>45546</v>
      </c>
      <c r="C195" s="3" t="str">
        <f>TEXT(Table1[[#This Row],[Date]],"MMM")</f>
        <v>Sep</v>
      </c>
      <c r="D195" s="3" t="str">
        <f>"Q"&amp;ROUNDUP(MONTH(Table1[[#This Row],[Date]])/3,0)</f>
        <v>Q3</v>
      </c>
      <c r="E195" s="3">
        <f>YEAR(Table1[[#This Row],[Date]])</f>
        <v>2024</v>
      </c>
      <c r="F195" s="3" t="s">
        <v>63</v>
      </c>
      <c r="G195" s="3" t="s">
        <v>48</v>
      </c>
      <c r="H195" s="3" t="s">
        <v>20</v>
      </c>
      <c r="I195" s="3" t="s">
        <v>59</v>
      </c>
      <c r="J195" s="3">
        <v>8</v>
      </c>
      <c r="K195" s="3">
        <v>12000</v>
      </c>
      <c r="L195" s="3">
        <v>25</v>
      </c>
      <c r="M195" s="3">
        <v>72000</v>
      </c>
      <c r="N195" s="24">
        <f>(Table1[[#This Row],[Profit (PKR)]]/Table1[[#This Row],[Total Revenue (PKR)]])</f>
        <v>0.1111111111111111</v>
      </c>
      <c r="O195" s="3">
        <v>8000</v>
      </c>
      <c r="P195" s="3">
        <v>64000</v>
      </c>
      <c r="Q195" s="3">
        <v>8000</v>
      </c>
      <c r="R195" s="3" t="s">
        <v>42</v>
      </c>
      <c r="S195" s="3" t="str">
        <f>IF(AND(Table1[[#This Row],[Total Revenue (PKR)]]&gt;50000, Table1[[#This Row],[Discount %]]&lt;10),"High Value","Standard")</f>
        <v>Standard</v>
      </c>
      <c r="T195" s="3" t="s">
        <v>55</v>
      </c>
      <c r="U195" s="7" t="s">
        <v>44</v>
      </c>
      <c r="V195" s="20" t="s">
        <v>277</v>
      </c>
    </row>
    <row r="196" spans="1:22" x14ac:dyDescent="0.25">
      <c r="A196" s="4" t="s">
        <v>419</v>
      </c>
      <c r="B196" s="15">
        <f>DATEVALUE(Table1[[#This Row],[Date2]])</f>
        <v>45644</v>
      </c>
      <c r="C196" s="2" t="str">
        <f>TEXT(Table1[[#This Row],[Date]],"MMM")</f>
        <v>Dec</v>
      </c>
      <c r="D196" s="2" t="str">
        <f>"Q"&amp;ROUNDUP(MONTH(Table1[[#This Row],[Date]])/3,0)</f>
        <v>Q4</v>
      </c>
      <c r="E196" s="2">
        <f>YEAR(Table1[[#This Row],[Date]])</f>
        <v>2024</v>
      </c>
      <c r="F196" s="2" t="s">
        <v>104</v>
      </c>
      <c r="G196" s="2" t="s">
        <v>40</v>
      </c>
      <c r="H196" s="2" t="s">
        <v>93</v>
      </c>
      <c r="I196" s="2" t="s">
        <v>109</v>
      </c>
      <c r="J196" s="2">
        <v>16</v>
      </c>
      <c r="K196" s="2">
        <v>700</v>
      </c>
      <c r="L196" s="2">
        <v>15</v>
      </c>
      <c r="M196" s="2">
        <v>9520</v>
      </c>
      <c r="N196" s="23">
        <f>(Table1[[#This Row],[Profit (PKR)]]/Table1[[#This Row],[Total Revenue (PKR)]])</f>
        <v>0.15966386554621848</v>
      </c>
      <c r="O196" s="2">
        <v>500</v>
      </c>
      <c r="P196" s="2">
        <v>8000</v>
      </c>
      <c r="Q196" s="2">
        <v>1520</v>
      </c>
      <c r="R196" s="2" t="s">
        <v>22</v>
      </c>
      <c r="S196" s="2" t="str">
        <f>IF(AND(Table1[[#This Row],[Total Revenue (PKR)]]&gt;50000, Table1[[#This Row],[Discount %]]&lt;10),"High Value","Standard")</f>
        <v>Standard</v>
      </c>
      <c r="T196" s="2" t="s">
        <v>55</v>
      </c>
      <c r="U196" s="6" t="s">
        <v>24</v>
      </c>
      <c r="V196" s="19" t="s">
        <v>420</v>
      </c>
    </row>
    <row r="197" spans="1:22" x14ac:dyDescent="0.25">
      <c r="A197" s="5" t="s">
        <v>421</v>
      </c>
      <c r="B197" s="16">
        <f>DATEVALUE(Table1[[#This Row],[Date2]])</f>
        <v>45452</v>
      </c>
      <c r="C197" s="3" t="str">
        <f>TEXT(Table1[[#This Row],[Date]],"MMM")</f>
        <v>Jun</v>
      </c>
      <c r="D197" s="3" t="str">
        <f>"Q"&amp;ROUNDUP(MONTH(Table1[[#This Row],[Date]])/3,0)</f>
        <v>Q2</v>
      </c>
      <c r="E197" s="3">
        <f>YEAR(Table1[[#This Row],[Date]])</f>
        <v>2024</v>
      </c>
      <c r="F197" s="3" t="s">
        <v>100</v>
      </c>
      <c r="G197" s="3" t="s">
        <v>52</v>
      </c>
      <c r="H197" s="3" t="s">
        <v>93</v>
      </c>
      <c r="I197" s="3" t="s">
        <v>188</v>
      </c>
      <c r="J197" s="3">
        <v>12</v>
      </c>
      <c r="K197" s="3">
        <v>1500</v>
      </c>
      <c r="L197" s="3">
        <v>20</v>
      </c>
      <c r="M197" s="3">
        <v>14400</v>
      </c>
      <c r="N197" s="24">
        <f>(Table1[[#This Row],[Profit (PKR)]]/Table1[[#This Row],[Total Revenue (PKR)]])</f>
        <v>8.3333333333333329E-2</v>
      </c>
      <c r="O197" s="3">
        <v>1100</v>
      </c>
      <c r="P197" s="3">
        <v>13200</v>
      </c>
      <c r="Q197" s="3">
        <v>1200</v>
      </c>
      <c r="R197" s="3" t="s">
        <v>22</v>
      </c>
      <c r="S197" s="3" t="str">
        <f>IF(AND(Table1[[#This Row],[Total Revenue (PKR)]]&gt;50000, Table1[[#This Row],[Discount %]]&lt;10),"High Value","Standard")</f>
        <v>Standard</v>
      </c>
      <c r="T197" s="3" t="s">
        <v>55</v>
      </c>
      <c r="U197" s="7" t="s">
        <v>44</v>
      </c>
      <c r="V197" s="20" t="s">
        <v>336</v>
      </c>
    </row>
    <row r="198" spans="1:22" x14ac:dyDescent="0.25">
      <c r="A198" s="4" t="s">
        <v>422</v>
      </c>
      <c r="B198" s="15">
        <f>DATEVALUE(Table1[[#This Row],[Date2]])</f>
        <v>45354</v>
      </c>
      <c r="C198" s="2" t="str">
        <f>TEXT(Table1[[#This Row],[Date]],"MMM")</f>
        <v>Mar</v>
      </c>
      <c r="D198" s="2" t="str">
        <f>"Q"&amp;ROUNDUP(MONTH(Table1[[#This Row],[Date]])/3,0)</f>
        <v>Q1</v>
      </c>
      <c r="E198" s="2">
        <f>YEAR(Table1[[#This Row],[Date]])</f>
        <v>2024</v>
      </c>
      <c r="F198" s="2" t="s">
        <v>39</v>
      </c>
      <c r="G198" s="2" t="s">
        <v>74</v>
      </c>
      <c r="H198" s="2" t="s">
        <v>34</v>
      </c>
      <c r="I198" s="2" t="s">
        <v>146</v>
      </c>
      <c r="J198" s="2">
        <v>4</v>
      </c>
      <c r="K198" s="2">
        <v>3500</v>
      </c>
      <c r="L198" s="2">
        <v>0</v>
      </c>
      <c r="M198" s="2">
        <v>14000</v>
      </c>
      <c r="N198" s="23">
        <f>(Table1[[#This Row],[Profit (PKR)]]/Table1[[#This Row],[Total Revenue (PKR)]])</f>
        <v>0.48571428571428571</v>
      </c>
      <c r="O198" s="2">
        <v>1800</v>
      </c>
      <c r="P198" s="2">
        <v>7200</v>
      </c>
      <c r="Q198" s="2">
        <v>6800</v>
      </c>
      <c r="R198" s="2" t="s">
        <v>42</v>
      </c>
      <c r="S198" s="2" t="str">
        <f>IF(AND(Table1[[#This Row],[Total Revenue (PKR)]]&gt;50000, Table1[[#This Row],[Discount %]]&lt;10),"High Value","Standard")</f>
        <v>Standard</v>
      </c>
      <c r="T198" s="2" t="s">
        <v>66</v>
      </c>
      <c r="U198" s="6" t="s">
        <v>86</v>
      </c>
      <c r="V198" s="19" t="s">
        <v>423</v>
      </c>
    </row>
    <row r="199" spans="1:22" x14ac:dyDescent="0.25">
      <c r="A199" s="5" t="s">
        <v>424</v>
      </c>
      <c r="B199" s="16">
        <f>DATEVALUE(Table1[[#This Row],[Date2]])</f>
        <v>45506</v>
      </c>
      <c r="C199" s="3" t="str">
        <f>TEXT(Table1[[#This Row],[Date]],"MMM")</f>
        <v>Aug</v>
      </c>
      <c r="D199" s="3" t="str">
        <f>"Q"&amp;ROUNDUP(MONTH(Table1[[#This Row],[Date]])/3,0)</f>
        <v>Q3</v>
      </c>
      <c r="E199" s="3">
        <f>YEAR(Table1[[#This Row],[Date]])</f>
        <v>2024</v>
      </c>
      <c r="F199" s="3" t="s">
        <v>33</v>
      </c>
      <c r="G199" s="3" t="s">
        <v>40</v>
      </c>
      <c r="H199" s="3" t="s">
        <v>20</v>
      </c>
      <c r="I199" s="3" t="s">
        <v>137</v>
      </c>
      <c r="J199" s="3">
        <v>11</v>
      </c>
      <c r="K199" s="3">
        <v>15000</v>
      </c>
      <c r="L199" s="3">
        <v>5</v>
      </c>
      <c r="M199" s="3">
        <v>156750</v>
      </c>
      <c r="N199" s="24">
        <f>(Table1[[#This Row],[Profit (PKR)]]/Table1[[#This Row],[Total Revenue (PKR)]])</f>
        <v>0.2982456140350877</v>
      </c>
      <c r="O199" s="3">
        <v>10000</v>
      </c>
      <c r="P199" s="3">
        <v>110000</v>
      </c>
      <c r="Q199" s="3">
        <v>46750</v>
      </c>
      <c r="R199" s="3" t="s">
        <v>22</v>
      </c>
      <c r="S199" s="3" t="str">
        <f>IF(AND(Table1[[#This Row],[Total Revenue (PKR)]]&gt;50000, Table1[[#This Row],[Discount %]]&lt;10),"High Value","Standard")</f>
        <v>High Value</v>
      </c>
      <c r="T199" s="3" t="s">
        <v>66</v>
      </c>
      <c r="U199" s="7" t="s">
        <v>56</v>
      </c>
      <c r="V199" s="20" t="s">
        <v>187</v>
      </c>
    </row>
    <row r="200" spans="1:22" x14ac:dyDescent="0.25">
      <c r="A200" s="4" t="s">
        <v>425</v>
      </c>
      <c r="B200" s="15">
        <f>DATEVALUE(Table1[[#This Row],[Date2]])</f>
        <v>45531</v>
      </c>
      <c r="C200" s="2" t="str">
        <f>TEXT(Table1[[#This Row],[Date]],"MMM")</f>
        <v>Aug</v>
      </c>
      <c r="D200" s="2" t="str">
        <f>"Q"&amp;ROUNDUP(MONTH(Table1[[#This Row],[Date]])/3,0)</f>
        <v>Q3</v>
      </c>
      <c r="E200" s="2">
        <f>YEAR(Table1[[#This Row],[Date]])</f>
        <v>2024</v>
      </c>
      <c r="F200" s="2" t="s">
        <v>122</v>
      </c>
      <c r="G200" s="2" t="s">
        <v>48</v>
      </c>
      <c r="H200" s="2" t="s">
        <v>93</v>
      </c>
      <c r="I200" s="2" t="s">
        <v>119</v>
      </c>
      <c r="J200" s="2">
        <v>3</v>
      </c>
      <c r="K200" s="2">
        <v>800</v>
      </c>
      <c r="L200" s="2">
        <v>15</v>
      </c>
      <c r="M200" s="2">
        <v>2040</v>
      </c>
      <c r="N200" s="23">
        <f>(Table1[[#This Row],[Profit (PKR)]]/Table1[[#This Row],[Total Revenue (PKR)]])</f>
        <v>0.11764705882352941</v>
      </c>
      <c r="O200" s="2">
        <v>600</v>
      </c>
      <c r="P200" s="2">
        <v>1800</v>
      </c>
      <c r="Q200" s="2">
        <v>240</v>
      </c>
      <c r="R200" s="2" t="s">
        <v>42</v>
      </c>
      <c r="S200" s="2" t="str">
        <f>IF(AND(Table1[[#This Row],[Total Revenue (PKR)]]&gt;50000, Table1[[#This Row],[Discount %]]&lt;10),"High Value","Standard")</f>
        <v>Standard</v>
      </c>
      <c r="T200" s="2" t="s">
        <v>36</v>
      </c>
      <c r="U200" s="6" t="s">
        <v>44</v>
      </c>
      <c r="V200" s="19" t="s">
        <v>426</v>
      </c>
    </row>
    <row r="201" spans="1:22" x14ac:dyDescent="0.25">
      <c r="A201" s="5" t="s">
        <v>427</v>
      </c>
      <c r="B201" s="16">
        <f>DATEVALUE(Table1[[#This Row],[Date2]])</f>
        <v>45472</v>
      </c>
      <c r="C201" s="3" t="str">
        <f>TEXT(Table1[[#This Row],[Date]],"MMM")</f>
        <v>Jun</v>
      </c>
      <c r="D201" s="3" t="str">
        <f>"Q"&amp;ROUNDUP(MONTH(Table1[[#This Row],[Date]])/3,0)</f>
        <v>Q2</v>
      </c>
      <c r="E201" s="3">
        <f>YEAR(Table1[[#This Row],[Date]])</f>
        <v>2024</v>
      </c>
      <c r="F201" s="3" t="s">
        <v>104</v>
      </c>
      <c r="G201" s="3" t="s">
        <v>19</v>
      </c>
      <c r="H201" s="3" t="s">
        <v>20</v>
      </c>
      <c r="I201" s="3" t="s">
        <v>59</v>
      </c>
      <c r="J201" s="3">
        <v>20</v>
      </c>
      <c r="K201" s="3">
        <v>12000</v>
      </c>
      <c r="L201" s="3">
        <v>25</v>
      </c>
      <c r="M201" s="3">
        <v>180000</v>
      </c>
      <c r="N201" s="24">
        <f>(Table1[[#This Row],[Profit (PKR)]]/Table1[[#This Row],[Total Revenue (PKR)]])</f>
        <v>0.1111111111111111</v>
      </c>
      <c r="O201" s="3">
        <v>8000</v>
      </c>
      <c r="P201" s="3">
        <v>160000</v>
      </c>
      <c r="Q201" s="3">
        <v>20000</v>
      </c>
      <c r="R201" s="3" t="s">
        <v>42</v>
      </c>
      <c r="S201" s="3" t="str">
        <f>IF(AND(Table1[[#This Row],[Total Revenue (PKR)]]&gt;50000, Table1[[#This Row],[Discount %]]&lt;10),"High Value","Standard")</f>
        <v>Standard</v>
      </c>
      <c r="T201" s="3" t="s">
        <v>55</v>
      </c>
      <c r="U201" s="7" t="s">
        <v>44</v>
      </c>
      <c r="V201" s="20" t="s">
        <v>219</v>
      </c>
    </row>
    <row r="202" spans="1:22" x14ac:dyDescent="0.25">
      <c r="A202" s="4" t="s">
        <v>428</v>
      </c>
      <c r="B202" s="15">
        <f>DATEVALUE(Table1[[#This Row],[Date2]])</f>
        <v>45347</v>
      </c>
      <c r="C202" s="2" t="str">
        <f>TEXT(Table1[[#This Row],[Date]],"MMM")</f>
        <v>Feb</v>
      </c>
      <c r="D202" s="2" t="str">
        <f>"Q"&amp;ROUNDUP(MONTH(Table1[[#This Row],[Date]])/3,0)</f>
        <v>Q1</v>
      </c>
      <c r="E202" s="2">
        <f>YEAR(Table1[[#This Row],[Date]])</f>
        <v>2024</v>
      </c>
      <c r="F202" s="2" t="s">
        <v>77</v>
      </c>
      <c r="G202" s="2" t="s">
        <v>40</v>
      </c>
      <c r="H202" s="2" t="s">
        <v>20</v>
      </c>
      <c r="I202" s="2" t="s">
        <v>182</v>
      </c>
      <c r="J202" s="2">
        <v>13</v>
      </c>
      <c r="K202" s="2">
        <v>5000</v>
      </c>
      <c r="L202" s="2">
        <v>10</v>
      </c>
      <c r="M202" s="2">
        <v>58500</v>
      </c>
      <c r="N202" s="23">
        <f>(Table1[[#This Row],[Profit (PKR)]]/Table1[[#This Row],[Total Revenue (PKR)]])</f>
        <v>0.33333333333333331</v>
      </c>
      <c r="O202" s="2">
        <v>3000</v>
      </c>
      <c r="P202" s="2">
        <v>39000</v>
      </c>
      <c r="Q202" s="2">
        <v>19500</v>
      </c>
      <c r="R202" s="2" t="s">
        <v>22</v>
      </c>
      <c r="S202" s="2" t="str">
        <f>IF(AND(Table1[[#This Row],[Total Revenue (PKR)]]&gt;50000, Table1[[#This Row],[Discount %]]&lt;10),"High Value","Standard")</f>
        <v>Standard</v>
      </c>
      <c r="T202" s="2" t="s">
        <v>66</v>
      </c>
      <c r="U202" s="6" t="s">
        <v>44</v>
      </c>
      <c r="V202" s="19" t="s">
        <v>429</v>
      </c>
    </row>
    <row r="203" spans="1:22" x14ac:dyDescent="0.25">
      <c r="A203" s="5" t="s">
        <v>430</v>
      </c>
      <c r="B203" s="16">
        <f>DATEVALUE(Table1[[#This Row],[Date2]])</f>
        <v>45579</v>
      </c>
      <c r="C203" s="3" t="str">
        <f>TEXT(Table1[[#This Row],[Date]],"MMM")</f>
        <v>Oct</v>
      </c>
      <c r="D203" s="3" t="str">
        <f>"Q"&amp;ROUNDUP(MONTH(Table1[[#This Row],[Date]])/3,0)</f>
        <v>Q4</v>
      </c>
      <c r="E203" s="3">
        <f>YEAR(Table1[[#This Row],[Date]])</f>
        <v>2024</v>
      </c>
      <c r="F203" s="3" t="s">
        <v>33</v>
      </c>
      <c r="G203" s="3" t="s">
        <v>52</v>
      </c>
      <c r="H203" s="3" t="s">
        <v>53</v>
      </c>
      <c r="I203" s="3" t="s">
        <v>85</v>
      </c>
      <c r="J203" s="3">
        <v>3</v>
      </c>
      <c r="K203" s="3">
        <v>1500</v>
      </c>
      <c r="L203" s="3">
        <v>15</v>
      </c>
      <c r="M203" s="3">
        <v>3825</v>
      </c>
      <c r="N203" s="24">
        <f>(Table1[[#This Row],[Profit (PKR)]]/Table1[[#This Row],[Total Revenue (PKR)]])</f>
        <v>0.37254901960784315</v>
      </c>
      <c r="O203" s="3">
        <v>800</v>
      </c>
      <c r="P203" s="3">
        <v>2400</v>
      </c>
      <c r="Q203" s="3">
        <v>1425</v>
      </c>
      <c r="R203" s="3" t="s">
        <v>42</v>
      </c>
      <c r="S203" s="3" t="str">
        <f>IF(AND(Table1[[#This Row],[Total Revenue (PKR)]]&gt;50000, Table1[[#This Row],[Discount %]]&lt;10),"High Value","Standard")</f>
        <v>Standard</v>
      </c>
      <c r="T203" s="3" t="s">
        <v>30</v>
      </c>
      <c r="U203" s="7" t="s">
        <v>44</v>
      </c>
      <c r="V203" s="20" t="s">
        <v>32</v>
      </c>
    </row>
    <row r="204" spans="1:22" x14ac:dyDescent="0.25">
      <c r="A204" s="4" t="s">
        <v>431</v>
      </c>
      <c r="B204" s="15">
        <f>DATEVALUE(Table1[[#This Row],[Date2]])</f>
        <v>45611</v>
      </c>
      <c r="C204" s="2" t="str">
        <f>TEXT(Table1[[#This Row],[Date]],"MMM")</f>
        <v>Nov</v>
      </c>
      <c r="D204" s="2" t="str">
        <f>"Q"&amp;ROUNDUP(MONTH(Table1[[#This Row],[Date]])/3,0)</f>
        <v>Q4</v>
      </c>
      <c r="E204" s="2">
        <f>YEAR(Table1[[#This Row],[Date]])</f>
        <v>2024</v>
      </c>
      <c r="F204" s="2" t="s">
        <v>47</v>
      </c>
      <c r="G204" s="2" t="s">
        <v>159</v>
      </c>
      <c r="H204" s="2" t="s">
        <v>34</v>
      </c>
      <c r="I204" s="2" t="s">
        <v>196</v>
      </c>
      <c r="J204" s="2">
        <v>13</v>
      </c>
      <c r="K204" s="2">
        <v>2500</v>
      </c>
      <c r="L204" s="2">
        <v>10</v>
      </c>
      <c r="M204" s="2">
        <v>29250</v>
      </c>
      <c r="N204" s="23">
        <f>(Table1[[#This Row],[Profit (PKR)]]/Table1[[#This Row],[Total Revenue (PKR)]])</f>
        <v>0.46666666666666667</v>
      </c>
      <c r="O204" s="2">
        <v>1200</v>
      </c>
      <c r="P204" s="2">
        <v>15600</v>
      </c>
      <c r="Q204" s="2">
        <v>13650</v>
      </c>
      <c r="R204" s="2" t="s">
        <v>42</v>
      </c>
      <c r="S204" s="2" t="str">
        <f>IF(AND(Table1[[#This Row],[Total Revenue (PKR)]]&gt;50000, Table1[[#This Row],[Discount %]]&lt;10),"High Value","Standard")</f>
        <v>Standard</v>
      </c>
      <c r="T204" s="2" t="s">
        <v>30</v>
      </c>
      <c r="U204" s="6" t="s">
        <v>95</v>
      </c>
      <c r="V204" s="19" t="s">
        <v>432</v>
      </c>
    </row>
    <row r="205" spans="1:22" x14ac:dyDescent="0.25">
      <c r="A205" s="5" t="s">
        <v>433</v>
      </c>
      <c r="B205" s="16">
        <f>DATEVALUE(Table1[[#This Row],[Date2]])</f>
        <v>45365</v>
      </c>
      <c r="C205" s="3" t="str">
        <f>TEXT(Table1[[#This Row],[Date]],"MMM")</f>
        <v>Mar</v>
      </c>
      <c r="D205" s="3" t="str">
        <f>"Q"&amp;ROUNDUP(MONTH(Table1[[#This Row],[Date]])/3,0)</f>
        <v>Q1</v>
      </c>
      <c r="E205" s="3">
        <f>YEAR(Table1[[#This Row],[Date]])</f>
        <v>2024</v>
      </c>
      <c r="F205" s="3" t="s">
        <v>33</v>
      </c>
      <c r="G205" s="3" t="s">
        <v>27</v>
      </c>
      <c r="H205" s="3" t="s">
        <v>53</v>
      </c>
      <c r="I205" s="3" t="s">
        <v>82</v>
      </c>
      <c r="J205" s="3">
        <v>2</v>
      </c>
      <c r="K205" s="3">
        <v>4000</v>
      </c>
      <c r="L205" s="3">
        <v>0</v>
      </c>
      <c r="M205" s="3">
        <v>8000</v>
      </c>
      <c r="N205" s="24">
        <f>(Table1[[#This Row],[Profit (PKR)]]/Table1[[#This Row],[Total Revenue (PKR)]])</f>
        <v>0.375</v>
      </c>
      <c r="O205" s="3">
        <v>2500</v>
      </c>
      <c r="P205" s="3">
        <v>5000</v>
      </c>
      <c r="Q205" s="3">
        <v>3000</v>
      </c>
      <c r="R205" s="3" t="s">
        <v>22</v>
      </c>
      <c r="S205" s="3" t="str">
        <f>IF(AND(Table1[[#This Row],[Total Revenue (PKR)]]&gt;50000, Table1[[#This Row],[Discount %]]&lt;10),"High Value","Standard")</f>
        <v>Standard</v>
      </c>
      <c r="T205" s="3" t="s">
        <v>23</v>
      </c>
      <c r="U205" s="7" t="s">
        <v>44</v>
      </c>
      <c r="V205" s="20" t="s">
        <v>324</v>
      </c>
    </row>
    <row r="206" spans="1:22" x14ac:dyDescent="0.25">
      <c r="A206" s="4" t="s">
        <v>434</v>
      </c>
      <c r="B206" s="15">
        <f>DATEVALUE(Table1[[#This Row],[Date2]])</f>
        <v>45534</v>
      </c>
      <c r="C206" s="2" t="str">
        <f>TEXT(Table1[[#This Row],[Date]],"MMM")</f>
        <v>Aug</v>
      </c>
      <c r="D206" s="2" t="str">
        <f>"Q"&amp;ROUNDUP(MONTH(Table1[[#This Row],[Date]])/3,0)</f>
        <v>Q3</v>
      </c>
      <c r="E206" s="2">
        <f>YEAR(Table1[[#This Row],[Date]])</f>
        <v>2024</v>
      </c>
      <c r="F206" s="2" t="s">
        <v>63</v>
      </c>
      <c r="G206" s="2" t="s">
        <v>74</v>
      </c>
      <c r="H206" s="2" t="s">
        <v>34</v>
      </c>
      <c r="I206" s="2" t="s">
        <v>89</v>
      </c>
      <c r="J206" s="2">
        <v>17</v>
      </c>
      <c r="K206" s="2">
        <v>4500</v>
      </c>
      <c r="L206" s="2">
        <v>5</v>
      </c>
      <c r="M206" s="2">
        <v>72675</v>
      </c>
      <c r="N206" s="23">
        <f>(Table1[[#This Row],[Profit (PKR)]]/Table1[[#This Row],[Total Revenue (PKR)]])</f>
        <v>0.41520467836257308</v>
      </c>
      <c r="O206" s="2">
        <v>2500</v>
      </c>
      <c r="P206" s="2">
        <v>42500</v>
      </c>
      <c r="Q206" s="2">
        <v>30175</v>
      </c>
      <c r="R206" s="2" t="s">
        <v>42</v>
      </c>
      <c r="S206" s="2" t="str">
        <f>IF(AND(Table1[[#This Row],[Total Revenue (PKR)]]&gt;50000, Table1[[#This Row],[Discount %]]&lt;10),"High Value","Standard")</f>
        <v>High Value</v>
      </c>
      <c r="T206" s="2" t="s">
        <v>30</v>
      </c>
      <c r="U206" s="6" t="s">
        <v>44</v>
      </c>
      <c r="V206" s="19" t="s">
        <v>435</v>
      </c>
    </row>
    <row r="207" spans="1:22" x14ac:dyDescent="0.25">
      <c r="A207" s="5" t="s">
        <v>436</v>
      </c>
      <c r="B207" s="16">
        <f>DATEVALUE(Table1[[#This Row],[Date2]])</f>
        <v>45493</v>
      </c>
      <c r="C207" s="3" t="str">
        <f>TEXT(Table1[[#This Row],[Date]],"MMM")</f>
        <v>Jul</v>
      </c>
      <c r="D207" s="3" t="str">
        <f>"Q"&amp;ROUNDUP(MONTH(Table1[[#This Row],[Date]])/3,0)</f>
        <v>Q3</v>
      </c>
      <c r="E207" s="3">
        <f>YEAR(Table1[[#This Row],[Date]])</f>
        <v>2024</v>
      </c>
      <c r="F207" s="3" t="s">
        <v>47</v>
      </c>
      <c r="G207" s="3" t="s">
        <v>48</v>
      </c>
      <c r="H207" s="3" t="s">
        <v>53</v>
      </c>
      <c r="I207" s="3" t="s">
        <v>85</v>
      </c>
      <c r="J207" s="3">
        <v>17</v>
      </c>
      <c r="K207" s="3">
        <v>1500</v>
      </c>
      <c r="L207" s="3">
        <v>20</v>
      </c>
      <c r="M207" s="3">
        <v>20400</v>
      </c>
      <c r="N207" s="24">
        <f>(Table1[[#This Row],[Profit (PKR)]]/Table1[[#This Row],[Total Revenue (PKR)]])</f>
        <v>0.33333333333333331</v>
      </c>
      <c r="O207" s="3">
        <v>800</v>
      </c>
      <c r="P207" s="3">
        <v>13600</v>
      </c>
      <c r="Q207" s="3">
        <v>6800</v>
      </c>
      <c r="R207" s="3" t="s">
        <v>42</v>
      </c>
      <c r="S207" s="3" t="str">
        <f>IF(AND(Table1[[#This Row],[Total Revenue (PKR)]]&gt;50000, Table1[[#This Row],[Discount %]]&lt;10),"High Value","Standard")</f>
        <v>Standard</v>
      </c>
      <c r="T207" s="3" t="s">
        <v>23</v>
      </c>
      <c r="U207" s="7" t="s">
        <v>44</v>
      </c>
      <c r="V207" s="20" t="s">
        <v>437</v>
      </c>
    </row>
    <row r="208" spans="1:22" x14ac:dyDescent="0.25">
      <c r="A208" s="4" t="s">
        <v>438</v>
      </c>
      <c r="B208" s="15">
        <f>DATEVALUE(Table1[[#This Row],[Date2]])</f>
        <v>45535</v>
      </c>
      <c r="C208" s="2" t="str">
        <f>TEXT(Table1[[#This Row],[Date]],"MMM")</f>
        <v>Aug</v>
      </c>
      <c r="D208" s="2" t="str">
        <f>"Q"&amp;ROUNDUP(MONTH(Table1[[#This Row],[Date]])/3,0)</f>
        <v>Q3</v>
      </c>
      <c r="E208" s="2">
        <f>YEAR(Table1[[#This Row],[Date]])</f>
        <v>2024</v>
      </c>
      <c r="F208" s="2" t="s">
        <v>104</v>
      </c>
      <c r="G208" s="2" t="s">
        <v>52</v>
      </c>
      <c r="H208" s="2" t="s">
        <v>20</v>
      </c>
      <c r="I208" s="2" t="s">
        <v>65</v>
      </c>
      <c r="J208" s="2">
        <v>14</v>
      </c>
      <c r="K208" s="2">
        <v>18000</v>
      </c>
      <c r="L208" s="2">
        <v>20</v>
      </c>
      <c r="M208" s="2">
        <v>201600</v>
      </c>
      <c r="N208" s="23">
        <f>(Table1[[#This Row],[Profit (PKR)]]/Table1[[#This Row],[Total Revenue (PKR)]])</f>
        <v>0.16666666666666666</v>
      </c>
      <c r="O208" s="2">
        <v>12000</v>
      </c>
      <c r="P208" s="2">
        <v>168000</v>
      </c>
      <c r="Q208" s="2">
        <v>33600</v>
      </c>
      <c r="R208" s="2" t="s">
        <v>42</v>
      </c>
      <c r="S208" s="2" t="str">
        <f>IF(AND(Table1[[#This Row],[Total Revenue (PKR)]]&gt;50000, Table1[[#This Row],[Discount %]]&lt;10),"High Value","Standard")</f>
        <v>Standard</v>
      </c>
      <c r="T208" s="2" t="s">
        <v>23</v>
      </c>
      <c r="U208" s="6" t="s">
        <v>86</v>
      </c>
      <c r="V208" s="19" t="s">
        <v>179</v>
      </c>
    </row>
    <row r="209" spans="1:22" x14ac:dyDescent="0.25">
      <c r="A209" s="5" t="s">
        <v>439</v>
      </c>
      <c r="B209" s="16">
        <f>DATEVALUE(Table1[[#This Row],[Date2]])</f>
        <v>45614</v>
      </c>
      <c r="C209" s="3" t="str">
        <f>TEXT(Table1[[#This Row],[Date]],"MMM")</f>
        <v>Nov</v>
      </c>
      <c r="D209" s="3" t="str">
        <f>"Q"&amp;ROUNDUP(MONTH(Table1[[#This Row],[Date]])/3,0)</f>
        <v>Q4</v>
      </c>
      <c r="E209" s="3">
        <f>YEAR(Table1[[#This Row],[Date]])</f>
        <v>2024</v>
      </c>
      <c r="F209" s="3" t="s">
        <v>104</v>
      </c>
      <c r="G209" s="3" t="s">
        <v>74</v>
      </c>
      <c r="H209" s="3" t="s">
        <v>20</v>
      </c>
      <c r="I209" s="3" t="s">
        <v>137</v>
      </c>
      <c r="J209" s="3">
        <v>19</v>
      </c>
      <c r="K209" s="3">
        <v>15000</v>
      </c>
      <c r="L209" s="3">
        <v>5</v>
      </c>
      <c r="M209" s="3">
        <v>270750</v>
      </c>
      <c r="N209" s="24">
        <f>(Table1[[#This Row],[Profit (PKR)]]/Table1[[#This Row],[Total Revenue (PKR)]])</f>
        <v>0.2982456140350877</v>
      </c>
      <c r="O209" s="3">
        <v>10000</v>
      </c>
      <c r="P209" s="3">
        <v>190000</v>
      </c>
      <c r="Q209" s="3">
        <v>80750</v>
      </c>
      <c r="R209" s="3" t="s">
        <v>22</v>
      </c>
      <c r="S209" s="3" t="str">
        <f>IF(AND(Table1[[#This Row],[Total Revenue (PKR)]]&gt;50000, Table1[[#This Row],[Discount %]]&lt;10),"High Value","Standard")</f>
        <v>High Value</v>
      </c>
      <c r="T209" s="3" t="s">
        <v>30</v>
      </c>
      <c r="U209" s="7" t="s">
        <v>44</v>
      </c>
      <c r="V209" s="20" t="s">
        <v>173</v>
      </c>
    </row>
    <row r="210" spans="1:22" x14ac:dyDescent="0.25">
      <c r="A210" s="4" t="s">
        <v>440</v>
      </c>
      <c r="B210" s="15">
        <f>DATEVALUE(Table1[[#This Row],[Date2]])</f>
        <v>45560</v>
      </c>
      <c r="C210" s="2" t="str">
        <f>TEXT(Table1[[#This Row],[Date]],"MMM")</f>
        <v>Sep</v>
      </c>
      <c r="D210" s="2" t="str">
        <f>"Q"&amp;ROUNDUP(MONTH(Table1[[#This Row],[Date]])/3,0)</f>
        <v>Q3</v>
      </c>
      <c r="E210" s="2">
        <f>YEAR(Table1[[#This Row],[Date]])</f>
        <v>2024</v>
      </c>
      <c r="F210" s="2" t="s">
        <v>47</v>
      </c>
      <c r="G210" s="2" t="s">
        <v>27</v>
      </c>
      <c r="H210" s="2" t="s">
        <v>34</v>
      </c>
      <c r="I210" s="2" t="s">
        <v>146</v>
      </c>
      <c r="J210" s="2">
        <v>2</v>
      </c>
      <c r="K210" s="2">
        <v>3500</v>
      </c>
      <c r="L210" s="2">
        <v>20</v>
      </c>
      <c r="M210" s="2">
        <v>5600</v>
      </c>
      <c r="N210" s="23">
        <f>(Table1[[#This Row],[Profit (PKR)]]/Table1[[#This Row],[Total Revenue (PKR)]])</f>
        <v>0.35714285714285715</v>
      </c>
      <c r="O210" s="2">
        <v>1800</v>
      </c>
      <c r="P210" s="2">
        <v>3600</v>
      </c>
      <c r="Q210" s="2">
        <v>2000</v>
      </c>
      <c r="R210" s="2" t="s">
        <v>22</v>
      </c>
      <c r="S210" s="2" t="str">
        <f>IF(AND(Table1[[#This Row],[Total Revenue (PKR)]]&gt;50000, Table1[[#This Row],[Discount %]]&lt;10),"High Value","Standard")</f>
        <v>Standard</v>
      </c>
      <c r="T210" s="2" t="s">
        <v>36</v>
      </c>
      <c r="U210" s="6" t="s">
        <v>44</v>
      </c>
      <c r="V210" s="19" t="s">
        <v>339</v>
      </c>
    </row>
    <row r="211" spans="1:22" x14ac:dyDescent="0.25">
      <c r="A211" s="5" t="s">
        <v>441</v>
      </c>
      <c r="B211" s="16">
        <f>DATEVALUE(Table1[[#This Row],[Date2]])</f>
        <v>45452</v>
      </c>
      <c r="C211" s="3" t="str">
        <f>TEXT(Table1[[#This Row],[Date]],"MMM")</f>
        <v>Jun</v>
      </c>
      <c r="D211" s="3" t="str">
        <f>"Q"&amp;ROUNDUP(MONTH(Table1[[#This Row],[Date]])/3,0)</f>
        <v>Q2</v>
      </c>
      <c r="E211" s="3">
        <f>YEAR(Table1[[#This Row],[Date]])</f>
        <v>2024</v>
      </c>
      <c r="F211" s="3" t="s">
        <v>77</v>
      </c>
      <c r="G211" s="3" t="s">
        <v>40</v>
      </c>
      <c r="H211" s="3" t="s">
        <v>93</v>
      </c>
      <c r="I211" s="3" t="s">
        <v>188</v>
      </c>
      <c r="J211" s="3">
        <v>14</v>
      </c>
      <c r="K211" s="3">
        <v>1500</v>
      </c>
      <c r="L211" s="3">
        <v>20</v>
      </c>
      <c r="M211" s="3">
        <v>16800</v>
      </c>
      <c r="N211" s="24">
        <f>(Table1[[#This Row],[Profit (PKR)]]/Table1[[#This Row],[Total Revenue (PKR)]])</f>
        <v>8.3333333333333329E-2</v>
      </c>
      <c r="O211" s="3">
        <v>1100</v>
      </c>
      <c r="P211" s="3">
        <v>15400</v>
      </c>
      <c r="Q211" s="3">
        <v>1400</v>
      </c>
      <c r="R211" s="3" t="s">
        <v>42</v>
      </c>
      <c r="S211" s="3" t="str">
        <f>IF(AND(Table1[[#This Row],[Total Revenue (PKR)]]&gt;50000, Table1[[#This Row],[Discount %]]&lt;10),"High Value","Standard")</f>
        <v>Standard</v>
      </c>
      <c r="T211" s="3" t="s">
        <v>23</v>
      </c>
      <c r="U211" s="7" t="s">
        <v>24</v>
      </c>
      <c r="V211" s="20" t="s">
        <v>336</v>
      </c>
    </row>
    <row r="212" spans="1:22" x14ac:dyDescent="0.25">
      <c r="A212" s="4" t="s">
        <v>442</v>
      </c>
      <c r="B212" s="15">
        <f>DATEVALUE(Table1[[#This Row],[Date2]])</f>
        <v>45653</v>
      </c>
      <c r="C212" s="2" t="str">
        <f>TEXT(Table1[[#This Row],[Date]],"MMM")</f>
        <v>Dec</v>
      </c>
      <c r="D212" s="2" t="str">
        <f>"Q"&amp;ROUNDUP(MONTH(Table1[[#This Row],[Date]])/3,0)</f>
        <v>Q4</v>
      </c>
      <c r="E212" s="2">
        <f>YEAR(Table1[[#This Row],[Date]])</f>
        <v>2024</v>
      </c>
      <c r="F212" s="2" t="s">
        <v>92</v>
      </c>
      <c r="G212" s="2" t="s">
        <v>64</v>
      </c>
      <c r="H212" s="2" t="s">
        <v>53</v>
      </c>
      <c r="I212" s="2" t="s">
        <v>85</v>
      </c>
      <c r="J212" s="2">
        <v>16</v>
      </c>
      <c r="K212" s="2">
        <v>1500</v>
      </c>
      <c r="L212" s="2">
        <v>20</v>
      </c>
      <c r="M212" s="2">
        <v>19200</v>
      </c>
      <c r="N212" s="23">
        <f>(Table1[[#This Row],[Profit (PKR)]]/Table1[[#This Row],[Total Revenue (PKR)]])</f>
        <v>0.33333333333333331</v>
      </c>
      <c r="O212" s="2">
        <v>800</v>
      </c>
      <c r="P212" s="2">
        <v>12800</v>
      </c>
      <c r="Q212" s="2">
        <v>6400</v>
      </c>
      <c r="R212" s="2" t="s">
        <v>42</v>
      </c>
      <c r="S212" s="2" t="str">
        <f>IF(AND(Table1[[#This Row],[Total Revenue (PKR)]]&gt;50000, Table1[[#This Row],[Discount %]]&lt;10),"High Value","Standard")</f>
        <v>Standard</v>
      </c>
      <c r="T212" s="2" t="s">
        <v>55</v>
      </c>
      <c r="U212" s="6" t="s">
        <v>95</v>
      </c>
      <c r="V212" s="19" t="s">
        <v>443</v>
      </c>
    </row>
    <row r="213" spans="1:22" x14ac:dyDescent="0.25">
      <c r="A213" s="5" t="s">
        <v>444</v>
      </c>
      <c r="B213" s="16">
        <f>DATEVALUE(Table1[[#This Row],[Date2]])</f>
        <v>45527</v>
      </c>
      <c r="C213" s="3" t="str">
        <f>TEXT(Table1[[#This Row],[Date]],"MMM")</f>
        <v>Aug</v>
      </c>
      <c r="D213" s="3" t="str">
        <f>"Q"&amp;ROUNDUP(MONTH(Table1[[#This Row],[Date]])/3,0)</f>
        <v>Q3</v>
      </c>
      <c r="E213" s="3">
        <f>YEAR(Table1[[#This Row],[Date]])</f>
        <v>2024</v>
      </c>
      <c r="F213" s="3" t="s">
        <v>63</v>
      </c>
      <c r="G213" s="3" t="s">
        <v>52</v>
      </c>
      <c r="H213" s="3" t="s">
        <v>53</v>
      </c>
      <c r="I213" s="3" t="s">
        <v>85</v>
      </c>
      <c r="J213" s="3">
        <v>9</v>
      </c>
      <c r="K213" s="3">
        <v>1500</v>
      </c>
      <c r="L213" s="3">
        <v>20</v>
      </c>
      <c r="M213" s="3">
        <v>10800</v>
      </c>
      <c r="N213" s="24">
        <f>(Table1[[#This Row],[Profit (PKR)]]/Table1[[#This Row],[Total Revenue (PKR)]])</f>
        <v>0.33333333333333331</v>
      </c>
      <c r="O213" s="3">
        <v>800</v>
      </c>
      <c r="P213" s="3">
        <v>7200</v>
      </c>
      <c r="Q213" s="3">
        <v>3600</v>
      </c>
      <c r="R213" s="3" t="s">
        <v>42</v>
      </c>
      <c r="S213" s="3" t="str">
        <f>IF(AND(Table1[[#This Row],[Total Revenue (PKR)]]&gt;50000, Table1[[#This Row],[Discount %]]&lt;10),"High Value","Standard")</f>
        <v>Standard</v>
      </c>
      <c r="T213" s="3" t="s">
        <v>36</v>
      </c>
      <c r="U213" s="7" t="s">
        <v>95</v>
      </c>
      <c r="V213" s="20" t="s">
        <v>152</v>
      </c>
    </row>
    <row r="214" spans="1:22" x14ac:dyDescent="0.25">
      <c r="A214" s="4" t="s">
        <v>445</v>
      </c>
      <c r="B214" s="15">
        <f>DATEVALUE(Table1[[#This Row],[Date2]])</f>
        <v>45434</v>
      </c>
      <c r="C214" s="2" t="str">
        <f>TEXT(Table1[[#This Row],[Date]],"MMM")</f>
        <v>May</v>
      </c>
      <c r="D214" s="2" t="str">
        <f>"Q"&amp;ROUNDUP(MONTH(Table1[[#This Row],[Date]])/3,0)</f>
        <v>Q2</v>
      </c>
      <c r="E214" s="2">
        <f>YEAR(Table1[[#This Row],[Date]])</f>
        <v>2024</v>
      </c>
      <c r="F214" s="2" t="s">
        <v>63</v>
      </c>
      <c r="G214" s="2" t="s">
        <v>48</v>
      </c>
      <c r="H214" s="2" t="s">
        <v>34</v>
      </c>
      <c r="I214" s="2" t="s">
        <v>41</v>
      </c>
      <c r="J214" s="2">
        <v>10</v>
      </c>
      <c r="K214" s="2">
        <v>3000</v>
      </c>
      <c r="L214" s="2">
        <v>25</v>
      </c>
      <c r="M214" s="2">
        <v>22500</v>
      </c>
      <c r="N214" s="23">
        <f>(Table1[[#This Row],[Profit (PKR)]]/Table1[[#This Row],[Total Revenue (PKR)]])</f>
        <v>0.33333333333333331</v>
      </c>
      <c r="O214" s="2">
        <v>1500</v>
      </c>
      <c r="P214" s="2">
        <v>15000</v>
      </c>
      <c r="Q214" s="2">
        <v>7500</v>
      </c>
      <c r="R214" s="2" t="s">
        <v>22</v>
      </c>
      <c r="S214" s="2" t="str">
        <f>IF(AND(Table1[[#This Row],[Total Revenue (PKR)]]&gt;50000, Table1[[#This Row],[Discount %]]&lt;10),"High Value","Standard")</f>
        <v>Standard</v>
      </c>
      <c r="T214" s="2" t="s">
        <v>23</v>
      </c>
      <c r="U214" s="6" t="s">
        <v>24</v>
      </c>
      <c r="V214" s="19" t="s">
        <v>321</v>
      </c>
    </row>
    <row r="215" spans="1:22" x14ac:dyDescent="0.25">
      <c r="A215" s="5" t="s">
        <v>446</v>
      </c>
      <c r="B215" s="16">
        <f>DATEVALUE(Table1[[#This Row],[Date2]])</f>
        <v>45454</v>
      </c>
      <c r="C215" s="3" t="str">
        <f>TEXT(Table1[[#This Row],[Date]],"MMM")</f>
        <v>Jun</v>
      </c>
      <c r="D215" s="3" t="str">
        <f>"Q"&amp;ROUNDUP(MONTH(Table1[[#This Row],[Date]])/3,0)</f>
        <v>Q2</v>
      </c>
      <c r="E215" s="3">
        <f>YEAR(Table1[[#This Row],[Date]])</f>
        <v>2024</v>
      </c>
      <c r="F215" s="3" t="s">
        <v>122</v>
      </c>
      <c r="G215" s="3" t="s">
        <v>52</v>
      </c>
      <c r="H215" s="3" t="s">
        <v>53</v>
      </c>
      <c r="I215" s="3" t="s">
        <v>85</v>
      </c>
      <c r="J215" s="3">
        <v>10</v>
      </c>
      <c r="K215" s="3">
        <v>1500</v>
      </c>
      <c r="L215" s="3">
        <v>0</v>
      </c>
      <c r="M215" s="3">
        <v>15000</v>
      </c>
      <c r="N215" s="24">
        <f>(Table1[[#This Row],[Profit (PKR)]]/Table1[[#This Row],[Total Revenue (PKR)]])</f>
        <v>0.46666666666666667</v>
      </c>
      <c r="O215" s="3">
        <v>800</v>
      </c>
      <c r="P215" s="3">
        <v>8000</v>
      </c>
      <c r="Q215" s="3">
        <v>7000</v>
      </c>
      <c r="R215" s="3" t="s">
        <v>42</v>
      </c>
      <c r="S215" s="3" t="str">
        <f>IF(AND(Table1[[#This Row],[Total Revenue (PKR)]]&gt;50000, Table1[[#This Row],[Discount %]]&lt;10),"High Value","Standard")</f>
        <v>Standard</v>
      </c>
      <c r="T215" s="3" t="s">
        <v>66</v>
      </c>
      <c r="U215" s="7" t="s">
        <v>86</v>
      </c>
      <c r="V215" s="20" t="s">
        <v>447</v>
      </c>
    </row>
    <row r="216" spans="1:22" x14ac:dyDescent="0.25">
      <c r="A216" s="4" t="s">
        <v>448</v>
      </c>
      <c r="B216" s="15">
        <f>DATEVALUE(Table1[[#This Row],[Date2]])</f>
        <v>45366</v>
      </c>
      <c r="C216" s="2" t="str">
        <f>TEXT(Table1[[#This Row],[Date]],"MMM")</f>
        <v>Mar</v>
      </c>
      <c r="D216" s="2" t="str">
        <f>"Q"&amp;ROUNDUP(MONTH(Table1[[#This Row],[Date]])/3,0)</f>
        <v>Q1</v>
      </c>
      <c r="E216" s="2">
        <f>YEAR(Table1[[#This Row],[Date]])</f>
        <v>2024</v>
      </c>
      <c r="F216" s="2" t="s">
        <v>39</v>
      </c>
      <c r="G216" s="2" t="s">
        <v>19</v>
      </c>
      <c r="H216" s="2" t="s">
        <v>20</v>
      </c>
      <c r="I216" s="2" t="s">
        <v>65</v>
      </c>
      <c r="J216" s="2">
        <v>12</v>
      </c>
      <c r="K216" s="2">
        <v>18000</v>
      </c>
      <c r="L216" s="2">
        <v>15</v>
      </c>
      <c r="M216" s="2">
        <v>183600</v>
      </c>
      <c r="N216" s="23">
        <f>(Table1[[#This Row],[Profit (PKR)]]/Table1[[#This Row],[Total Revenue (PKR)]])</f>
        <v>0.21568627450980393</v>
      </c>
      <c r="O216" s="2">
        <v>12000</v>
      </c>
      <c r="P216" s="2">
        <v>144000</v>
      </c>
      <c r="Q216" s="2">
        <v>39600</v>
      </c>
      <c r="R216" s="2" t="s">
        <v>42</v>
      </c>
      <c r="S216" s="2" t="str">
        <f>IF(AND(Table1[[#This Row],[Total Revenue (PKR)]]&gt;50000, Table1[[#This Row],[Discount %]]&lt;10),"High Value","Standard")</f>
        <v>Standard</v>
      </c>
      <c r="T216" s="2" t="s">
        <v>23</v>
      </c>
      <c r="U216" s="6" t="s">
        <v>44</v>
      </c>
      <c r="V216" s="19" t="s">
        <v>303</v>
      </c>
    </row>
    <row r="217" spans="1:22" x14ac:dyDescent="0.25">
      <c r="A217" s="5" t="s">
        <v>449</v>
      </c>
      <c r="B217" s="16">
        <f>DATEVALUE(Table1[[#This Row],[Date2]])</f>
        <v>45395</v>
      </c>
      <c r="C217" s="3" t="str">
        <f>TEXT(Table1[[#This Row],[Date]],"MMM")</f>
        <v>Apr</v>
      </c>
      <c r="D217" s="3" t="str">
        <f>"Q"&amp;ROUNDUP(MONTH(Table1[[#This Row],[Date]])/3,0)</f>
        <v>Q2</v>
      </c>
      <c r="E217" s="3">
        <f>YEAR(Table1[[#This Row],[Date]])</f>
        <v>2024</v>
      </c>
      <c r="F217" s="3" t="s">
        <v>63</v>
      </c>
      <c r="G217" s="3" t="s">
        <v>48</v>
      </c>
      <c r="H217" s="3" t="s">
        <v>53</v>
      </c>
      <c r="I217" s="3" t="s">
        <v>85</v>
      </c>
      <c r="J217" s="3">
        <v>5</v>
      </c>
      <c r="K217" s="3">
        <v>1500</v>
      </c>
      <c r="L217" s="3">
        <v>0</v>
      </c>
      <c r="M217" s="3">
        <v>7500</v>
      </c>
      <c r="N217" s="24">
        <f>(Table1[[#This Row],[Profit (PKR)]]/Table1[[#This Row],[Total Revenue (PKR)]])</f>
        <v>0.46666666666666667</v>
      </c>
      <c r="O217" s="3">
        <v>800</v>
      </c>
      <c r="P217" s="3">
        <v>4000</v>
      </c>
      <c r="Q217" s="3">
        <v>3500</v>
      </c>
      <c r="R217" s="3" t="s">
        <v>22</v>
      </c>
      <c r="S217" s="3" t="str">
        <f>IF(AND(Table1[[#This Row],[Total Revenue (PKR)]]&gt;50000, Table1[[#This Row],[Discount %]]&lt;10),"High Value","Standard")</f>
        <v>Standard</v>
      </c>
      <c r="T217" s="3" t="s">
        <v>36</v>
      </c>
      <c r="U217" s="7" t="s">
        <v>44</v>
      </c>
      <c r="V217" s="20" t="s">
        <v>450</v>
      </c>
    </row>
    <row r="218" spans="1:22" x14ac:dyDescent="0.25">
      <c r="A218" s="4" t="s">
        <v>451</v>
      </c>
      <c r="B218" s="15">
        <f>DATEVALUE(Table1[[#This Row],[Date2]])</f>
        <v>45563</v>
      </c>
      <c r="C218" s="2" t="str">
        <f>TEXT(Table1[[#This Row],[Date]],"MMM")</f>
        <v>Sep</v>
      </c>
      <c r="D218" s="2" t="str">
        <f>"Q"&amp;ROUNDUP(MONTH(Table1[[#This Row],[Date]])/3,0)</f>
        <v>Q3</v>
      </c>
      <c r="E218" s="2">
        <f>YEAR(Table1[[#This Row],[Date]])</f>
        <v>2024</v>
      </c>
      <c r="F218" s="2" t="s">
        <v>33</v>
      </c>
      <c r="G218" s="2" t="s">
        <v>64</v>
      </c>
      <c r="H218" s="2" t="s">
        <v>28</v>
      </c>
      <c r="I218" s="2" t="s">
        <v>29</v>
      </c>
      <c r="J218" s="2">
        <v>14</v>
      </c>
      <c r="K218" s="2">
        <v>25000</v>
      </c>
      <c r="L218" s="2">
        <v>10</v>
      </c>
      <c r="M218" s="2">
        <v>315000</v>
      </c>
      <c r="N218" s="23">
        <f>(Table1[[#This Row],[Profit (PKR)]]/Table1[[#This Row],[Total Revenue (PKR)]])</f>
        <v>0.2</v>
      </c>
      <c r="O218" s="2">
        <v>18000</v>
      </c>
      <c r="P218" s="2">
        <v>252000</v>
      </c>
      <c r="Q218" s="2">
        <v>63000</v>
      </c>
      <c r="R218" s="2" t="s">
        <v>42</v>
      </c>
      <c r="S218" s="2" t="str">
        <f>IF(AND(Table1[[#This Row],[Total Revenue (PKR)]]&gt;50000, Table1[[#This Row],[Discount %]]&lt;10),"High Value","Standard")</f>
        <v>Standard</v>
      </c>
      <c r="T218" s="2" t="s">
        <v>43</v>
      </c>
      <c r="U218" s="6" t="s">
        <v>24</v>
      </c>
      <c r="V218" s="19" t="s">
        <v>452</v>
      </c>
    </row>
    <row r="219" spans="1:22" x14ac:dyDescent="0.25">
      <c r="A219" s="5" t="s">
        <v>453</v>
      </c>
      <c r="B219" s="16">
        <f>DATEVALUE(Table1[[#This Row],[Date2]])</f>
        <v>45362</v>
      </c>
      <c r="C219" s="3" t="str">
        <f>TEXT(Table1[[#This Row],[Date]],"MMM")</f>
        <v>Mar</v>
      </c>
      <c r="D219" s="3" t="str">
        <f>"Q"&amp;ROUNDUP(MONTH(Table1[[#This Row],[Date]])/3,0)</f>
        <v>Q1</v>
      </c>
      <c r="E219" s="3">
        <f>YEAR(Table1[[#This Row],[Date]])</f>
        <v>2024</v>
      </c>
      <c r="F219" s="3" t="s">
        <v>104</v>
      </c>
      <c r="G219" s="3" t="s">
        <v>40</v>
      </c>
      <c r="H219" s="3" t="s">
        <v>93</v>
      </c>
      <c r="I219" s="3" t="s">
        <v>109</v>
      </c>
      <c r="J219" s="3">
        <v>16</v>
      </c>
      <c r="K219" s="3">
        <v>700</v>
      </c>
      <c r="L219" s="3">
        <v>25</v>
      </c>
      <c r="M219" s="3">
        <v>8400</v>
      </c>
      <c r="N219" s="24">
        <f>(Table1[[#This Row],[Profit (PKR)]]/Table1[[#This Row],[Total Revenue (PKR)]])</f>
        <v>4.7619047619047616E-2</v>
      </c>
      <c r="O219" s="3">
        <v>500</v>
      </c>
      <c r="P219" s="3">
        <v>8000</v>
      </c>
      <c r="Q219" s="3">
        <v>400</v>
      </c>
      <c r="R219" s="3" t="s">
        <v>22</v>
      </c>
      <c r="S219" s="3" t="str">
        <f>IF(AND(Table1[[#This Row],[Total Revenue (PKR)]]&gt;50000, Table1[[#This Row],[Discount %]]&lt;10),"High Value","Standard")</f>
        <v>Standard</v>
      </c>
      <c r="T219" s="3" t="s">
        <v>55</v>
      </c>
      <c r="U219" s="7" t="s">
        <v>44</v>
      </c>
      <c r="V219" s="20" t="s">
        <v>73</v>
      </c>
    </row>
    <row r="220" spans="1:22" x14ac:dyDescent="0.25">
      <c r="A220" s="4" t="s">
        <v>454</v>
      </c>
      <c r="B220" s="15">
        <f>DATEVALUE(Table1[[#This Row],[Date2]])</f>
        <v>45622</v>
      </c>
      <c r="C220" s="2" t="str">
        <f>TEXT(Table1[[#This Row],[Date]],"MMM")</f>
        <v>Nov</v>
      </c>
      <c r="D220" s="2" t="str">
        <f>"Q"&amp;ROUNDUP(MONTH(Table1[[#This Row],[Date]])/3,0)</f>
        <v>Q4</v>
      </c>
      <c r="E220" s="2">
        <f>YEAR(Table1[[#This Row],[Date]])</f>
        <v>2024</v>
      </c>
      <c r="F220" s="2" t="s">
        <v>104</v>
      </c>
      <c r="G220" s="2" t="s">
        <v>159</v>
      </c>
      <c r="H220" s="2" t="s">
        <v>53</v>
      </c>
      <c r="I220" s="2" t="s">
        <v>54</v>
      </c>
      <c r="J220" s="2">
        <v>18</v>
      </c>
      <c r="K220" s="2">
        <v>2000</v>
      </c>
      <c r="L220" s="2">
        <v>25</v>
      </c>
      <c r="M220" s="2">
        <v>27000</v>
      </c>
      <c r="N220" s="23">
        <f>(Table1[[#This Row],[Profit (PKR)]]/Table1[[#This Row],[Total Revenue (PKR)]])</f>
        <v>0.2</v>
      </c>
      <c r="O220" s="2">
        <v>1200</v>
      </c>
      <c r="P220" s="2">
        <v>21600</v>
      </c>
      <c r="Q220" s="2">
        <v>5400</v>
      </c>
      <c r="R220" s="2" t="s">
        <v>22</v>
      </c>
      <c r="S220" s="2" t="str">
        <f>IF(AND(Table1[[#This Row],[Total Revenue (PKR)]]&gt;50000, Table1[[#This Row],[Discount %]]&lt;10),"High Value","Standard")</f>
        <v>Standard</v>
      </c>
      <c r="T220" s="2" t="s">
        <v>36</v>
      </c>
      <c r="U220" s="6" t="s">
        <v>44</v>
      </c>
      <c r="V220" s="19" t="s">
        <v>111</v>
      </c>
    </row>
    <row r="221" spans="1:22" x14ac:dyDescent="0.25">
      <c r="A221" s="5" t="s">
        <v>455</v>
      </c>
      <c r="B221" s="16">
        <f>DATEVALUE(Table1[[#This Row],[Date2]])</f>
        <v>45382</v>
      </c>
      <c r="C221" s="3" t="str">
        <f>TEXT(Table1[[#This Row],[Date]],"MMM")</f>
        <v>Mar</v>
      </c>
      <c r="D221" s="3" t="str">
        <f>"Q"&amp;ROUNDUP(MONTH(Table1[[#This Row],[Date]])/3,0)</f>
        <v>Q1</v>
      </c>
      <c r="E221" s="3">
        <f>YEAR(Table1[[#This Row],[Date]])</f>
        <v>2024</v>
      </c>
      <c r="F221" s="3" t="s">
        <v>104</v>
      </c>
      <c r="G221" s="3" t="s">
        <v>27</v>
      </c>
      <c r="H221" s="3" t="s">
        <v>93</v>
      </c>
      <c r="I221" s="3" t="s">
        <v>188</v>
      </c>
      <c r="J221" s="3">
        <v>10</v>
      </c>
      <c r="K221" s="3">
        <v>1500</v>
      </c>
      <c r="L221" s="3">
        <v>0</v>
      </c>
      <c r="M221" s="3">
        <v>15000</v>
      </c>
      <c r="N221" s="24">
        <f>(Table1[[#This Row],[Profit (PKR)]]/Table1[[#This Row],[Total Revenue (PKR)]])</f>
        <v>0.26666666666666666</v>
      </c>
      <c r="O221" s="3">
        <v>1100</v>
      </c>
      <c r="P221" s="3">
        <v>11000</v>
      </c>
      <c r="Q221" s="3">
        <v>4000</v>
      </c>
      <c r="R221" s="3" t="s">
        <v>22</v>
      </c>
      <c r="S221" s="3" t="str">
        <f>IF(AND(Table1[[#This Row],[Total Revenue (PKR)]]&gt;50000, Table1[[#This Row],[Discount %]]&lt;10),"High Value","Standard")</f>
        <v>Standard</v>
      </c>
      <c r="T221" s="3" t="s">
        <v>55</v>
      </c>
      <c r="U221" s="7" t="s">
        <v>44</v>
      </c>
      <c r="V221" s="20" t="s">
        <v>207</v>
      </c>
    </row>
    <row r="222" spans="1:22" x14ac:dyDescent="0.25">
      <c r="A222" s="4" t="s">
        <v>456</v>
      </c>
      <c r="B222" s="15">
        <f>DATEVALUE(Table1[[#This Row],[Date2]])</f>
        <v>45346</v>
      </c>
      <c r="C222" s="2" t="str">
        <f>TEXT(Table1[[#This Row],[Date]],"MMM")</f>
        <v>Feb</v>
      </c>
      <c r="D222" s="2" t="str">
        <f>"Q"&amp;ROUNDUP(MONTH(Table1[[#This Row],[Date]])/3,0)</f>
        <v>Q1</v>
      </c>
      <c r="E222" s="2">
        <f>YEAR(Table1[[#This Row],[Date]])</f>
        <v>2024</v>
      </c>
      <c r="F222" s="2" t="s">
        <v>100</v>
      </c>
      <c r="G222" s="2" t="s">
        <v>48</v>
      </c>
      <c r="H222" s="2" t="s">
        <v>93</v>
      </c>
      <c r="I222" s="2" t="s">
        <v>94</v>
      </c>
      <c r="J222" s="2">
        <v>17</v>
      </c>
      <c r="K222" s="2">
        <v>1200</v>
      </c>
      <c r="L222" s="2">
        <v>15</v>
      </c>
      <c r="M222" s="2">
        <v>17340</v>
      </c>
      <c r="N222" s="23">
        <f>(Table1[[#This Row],[Profit (PKR)]]/Table1[[#This Row],[Total Revenue (PKR)]])</f>
        <v>0.11764705882352941</v>
      </c>
      <c r="O222" s="2">
        <v>900</v>
      </c>
      <c r="P222" s="2">
        <v>15300</v>
      </c>
      <c r="Q222" s="2">
        <v>2040</v>
      </c>
      <c r="R222" s="2" t="s">
        <v>22</v>
      </c>
      <c r="S222" s="2" t="str">
        <f>IF(AND(Table1[[#This Row],[Total Revenue (PKR)]]&gt;50000, Table1[[#This Row],[Discount %]]&lt;10),"High Value","Standard")</f>
        <v>Standard</v>
      </c>
      <c r="T222" s="2" t="s">
        <v>30</v>
      </c>
      <c r="U222" s="6" t="s">
        <v>44</v>
      </c>
      <c r="V222" s="19" t="s">
        <v>175</v>
      </c>
    </row>
    <row r="223" spans="1:22" x14ac:dyDescent="0.25">
      <c r="A223" s="5" t="s">
        <v>457</v>
      </c>
      <c r="B223" s="16">
        <f>DATEVALUE(Table1[[#This Row],[Date2]])</f>
        <v>45390</v>
      </c>
      <c r="C223" s="3" t="str">
        <f>TEXT(Table1[[#This Row],[Date]],"MMM")</f>
        <v>Apr</v>
      </c>
      <c r="D223" s="3" t="str">
        <f>"Q"&amp;ROUNDUP(MONTH(Table1[[#This Row],[Date]])/3,0)</f>
        <v>Q2</v>
      </c>
      <c r="E223" s="3">
        <f>YEAR(Table1[[#This Row],[Date]])</f>
        <v>2024</v>
      </c>
      <c r="F223" s="3" t="s">
        <v>18</v>
      </c>
      <c r="G223" s="3" t="s">
        <v>52</v>
      </c>
      <c r="H223" s="3" t="s">
        <v>34</v>
      </c>
      <c r="I223" s="3" t="s">
        <v>35</v>
      </c>
      <c r="J223" s="3">
        <v>9</v>
      </c>
      <c r="K223" s="3">
        <v>6000</v>
      </c>
      <c r="L223" s="3">
        <v>25</v>
      </c>
      <c r="M223" s="3">
        <v>40500</v>
      </c>
      <c r="N223" s="24">
        <f>(Table1[[#This Row],[Profit (PKR)]]/Table1[[#This Row],[Total Revenue (PKR)]])</f>
        <v>0.22222222222222221</v>
      </c>
      <c r="O223" s="3">
        <v>3500</v>
      </c>
      <c r="P223" s="3">
        <v>31500</v>
      </c>
      <c r="Q223" s="3">
        <v>9000</v>
      </c>
      <c r="R223" s="3" t="s">
        <v>22</v>
      </c>
      <c r="S223" s="3" t="str">
        <f>IF(AND(Table1[[#This Row],[Total Revenue (PKR)]]&gt;50000, Table1[[#This Row],[Discount %]]&lt;10),"High Value","Standard")</f>
        <v>Standard</v>
      </c>
      <c r="T223" s="3" t="s">
        <v>43</v>
      </c>
      <c r="U223" s="7" t="s">
        <v>24</v>
      </c>
      <c r="V223" s="20" t="s">
        <v>458</v>
      </c>
    </row>
    <row r="224" spans="1:22" x14ac:dyDescent="0.25">
      <c r="A224" s="4" t="s">
        <v>459</v>
      </c>
      <c r="B224" s="15">
        <f>DATEVALUE(Table1[[#This Row],[Date2]])</f>
        <v>45443</v>
      </c>
      <c r="C224" s="2" t="str">
        <f>TEXT(Table1[[#This Row],[Date]],"MMM")</f>
        <v>May</v>
      </c>
      <c r="D224" s="2" t="str">
        <f>"Q"&amp;ROUNDUP(MONTH(Table1[[#This Row],[Date]])/3,0)</f>
        <v>Q2</v>
      </c>
      <c r="E224" s="2">
        <f>YEAR(Table1[[#This Row],[Date]])</f>
        <v>2024</v>
      </c>
      <c r="F224" s="2" t="s">
        <v>47</v>
      </c>
      <c r="G224" s="2" t="s">
        <v>64</v>
      </c>
      <c r="H224" s="2" t="s">
        <v>34</v>
      </c>
      <c r="I224" s="2" t="s">
        <v>89</v>
      </c>
      <c r="J224" s="2">
        <v>13</v>
      </c>
      <c r="K224" s="2">
        <v>4500</v>
      </c>
      <c r="L224" s="2">
        <v>15</v>
      </c>
      <c r="M224" s="2">
        <v>49725</v>
      </c>
      <c r="N224" s="23">
        <f>(Table1[[#This Row],[Profit (PKR)]]/Table1[[#This Row],[Total Revenue (PKR)]])</f>
        <v>0.34640522875816993</v>
      </c>
      <c r="O224" s="2">
        <v>2500</v>
      </c>
      <c r="P224" s="2">
        <v>32500</v>
      </c>
      <c r="Q224" s="2">
        <v>17225</v>
      </c>
      <c r="R224" s="2" t="s">
        <v>42</v>
      </c>
      <c r="S224" s="2" t="str">
        <f>IF(AND(Table1[[#This Row],[Total Revenue (PKR)]]&gt;50000, Table1[[#This Row],[Discount %]]&lt;10),"High Value","Standard")</f>
        <v>Standard</v>
      </c>
      <c r="T224" s="2" t="s">
        <v>43</v>
      </c>
      <c r="U224" s="6" t="s">
        <v>44</v>
      </c>
      <c r="V224" s="19" t="s">
        <v>223</v>
      </c>
    </row>
    <row r="225" spans="1:22" x14ac:dyDescent="0.25">
      <c r="A225" s="5" t="s">
        <v>460</v>
      </c>
      <c r="B225" s="16">
        <f>DATEVALUE(Table1[[#This Row],[Date2]])</f>
        <v>45340</v>
      </c>
      <c r="C225" s="3" t="str">
        <f>TEXT(Table1[[#This Row],[Date]],"MMM")</f>
        <v>Feb</v>
      </c>
      <c r="D225" s="3" t="str">
        <f>"Q"&amp;ROUNDUP(MONTH(Table1[[#This Row],[Date]])/3,0)</f>
        <v>Q1</v>
      </c>
      <c r="E225" s="3">
        <f>YEAR(Table1[[#This Row],[Date]])</f>
        <v>2024</v>
      </c>
      <c r="F225" s="3" t="s">
        <v>92</v>
      </c>
      <c r="G225" s="3" t="s">
        <v>40</v>
      </c>
      <c r="H225" s="3" t="s">
        <v>93</v>
      </c>
      <c r="I225" s="3" t="s">
        <v>98</v>
      </c>
      <c r="J225" s="3">
        <v>8</v>
      </c>
      <c r="K225" s="3">
        <v>400</v>
      </c>
      <c r="L225" s="3">
        <v>0</v>
      </c>
      <c r="M225" s="3">
        <v>3200</v>
      </c>
      <c r="N225" s="24">
        <f>(Table1[[#This Row],[Profit (PKR)]]/Table1[[#This Row],[Total Revenue (PKR)]])</f>
        <v>0.3</v>
      </c>
      <c r="O225" s="3">
        <v>280</v>
      </c>
      <c r="P225" s="3">
        <v>2240</v>
      </c>
      <c r="Q225" s="3">
        <v>960</v>
      </c>
      <c r="R225" s="3" t="s">
        <v>42</v>
      </c>
      <c r="S225" s="3" t="str">
        <f>IF(AND(Table1[[#This Row],[Total Revenue (PKR)]]&gt;50000, Table1[[#This Row],[Discount %]]&lt;10),"High Value","Standard")</f>
        <v>Standard</v>
      </c>
      <c r="T225" s="3" t="s">
        <v>66</v>
      </c>
      <c r="U225" s="7" t="s">
        <v>44</v>
      </c>
      <c r="V225" s="20" t="s">
        <v>315</v>
      </c>
    </row>
    <row r="226" spans="1:22" x14ac:dyDescent="0.25">
      <c r="A226" s="4" t="s">
        <v>461</v>
      </c>
      <c r="B226" s="15">
        <f>DATEVALUE(Table1[[#This Row],[Date2]])</f>
        <v>45428</v>
      </c>
      <c r="C226" s="2" t="str">
        <f>TEXT(Table1[[#This Row],[Date]],"MMM")</f>
        <v>May</v>
      </c>
      <c r="D226" s="2" t="str">
        <f>"Q"&amp;ROUNDUP(MONTH(Table1[[#This Row],[Date]])/3,0)</f>
        <v>Q2</v>
      </c>
      <c r="E226" s="2">
        <f>YEAR(Table1[[#This Row],[Date]])</f>
        <v>2024</v>
      </c>
      <c r="F226" s="2" t="s">
        <v>100</v>
      </c>
      <c r="G226" s="2" t="s">
        <v>48</v>
      </c>
      <c r="H226" s="2" t="s">
        <v>53</v>
      </c>
      <c r="I226" s="2" t="s">
        <v>101</v>
      </c>
      <c r="J226" s="2">
        <v>1</v>
      </c>
      <c r="K226" s="2">
        <v>1200</v>
      </c>
      <c r="L226" s="2">
        <v>10</v>
      </c>
      <c r="M226" s="2">
        <v>1080</v>
      </c>
      <c r="N226" s="23">
        <f>(Table1[[#This Row],[Profit (PKR)]]/Table1[[#This Row],[Total Revenue (PKR)]])</f>
        <v>0.35185185185185186</v>
      </c>
      <c r="O226" s="2">
        <v>700</v>
      </c>
      <c r="P226" s="2">
        <v>700</v>
      </c>
      <c r="Q226" s="2">
        <v>380</v>
      </c>
      <c r="R226" s="2" t="s">
        <v>42</v>
      </c>
      <c r="S226" s="2" t="str">
        <f>IF(AND(Table1[[#This Row],[Total Revenue (PKR)]]&gt;50000, Table1[[#This Row],[Discount %]]&lt;10),"High Value","Standard")</f>
        <v>Standard</v>
      </c>
      <c r="T226" s="2" t="s">
        <v>23</v>
      </c>
      <c r="U226" s="6" t="s">
        <v>44</v>
      </c>
      <c r="V226" s="19" t="s">
        <v>61</v>
      </c>
    </row>
    <row r="227" spans="1:22" x14ac:dyDescent="0.25">
      <c r="A227" s="5" t="s">
        <v>462</v>
      </c>
      <c r="B227" s="16">
        <f>DATEVALUE(Table1[[#This Row],[Date2]])</f>
        <v>45633</v>
      </c>
      <c r="C227" s="3" t="str">
        <f>TEXT(Table1[[#This Row],[Date]],"MMM")</f>
        <v>Dec</v>
      </c>
      <c r="D227" s="3" t="str">
        <f>"Q"&amp;ROUNDUP(MONTH(Table1[[#This Row],[Date]])/3,0)</f>
        <v>Q4</v>
      </c>
      <c r="E227" s="3">
        <f>YEAR(Table1[[#This Row],[Date]])</f>
        <v>2024</v>
      </c>
      <c r="F227" s="3" t="s">
        <v>18</v>
      </c>
      <c r="G227" s="3" t="s">
        <v>74</v>
      </c>
      <c r="H227" s="3" t="s">
        <v>20</v>
      </c>
      <c r="I227" s="3" t="s">
        <v>21</v>
      </c>
      <c r="J227" s="3">
        <v>13</v>
      </c>
      <c r="K227" s="3">
        <v>3500</v>
      </c>
      <c r="L227" s="3">
        <v>25</v>
      </c>
      <c r="M227" s="3">
        <v>34125</v>
      </c>
      <c r="N227" s="24">
        <f>(Table1[[#This Row],[Profit (PKR)]]/Table1[[#This Row],[Total Revenue (PKR)]])</f>
        <v>0.23809523809523808</v>
      </c>
      <c r="O227" s="3">
        <v>2000</v>
      </c>
      <c r="P227" s="3">
        <v>26000</v>
      </c>
      <c r="Q227" s="3">
        <v>8125</v>
      </c>
      <c r="R227" s="3" t="s">
        <v>42</v>
      </c>
      <c r="S227" s="3" t="str">
        <f>IF(AND(Table1[[#This Row],[Total Revenue (PKR)]]&gt;50000, Table1[[#This Row],[Discount %]]&lt;10),"High Value","Standard")</f>
        <v>Standard</v>
      </c>
      <c r="T227" s="3" t="s">
        <v>23</v>
      </c>
      <c r="U227" s="7" t="s">
        <v>44</v>
      </c>
      <c r="V227" s="20" t="s">
        <v>463</v>
      </c>
    </row>
    <row r="228" spans="1:22" x14ac:dyDescent="0.25">
      <c r="A228" s="4" t="s">
        <v>464</v>
      </c>
      <c r="B228" s="15">
        <f>DATEVALUE(Table1[[#This Row],[Date2]])</f>
        <v>45443</v>
      </c>
      <c r="C228" s="2" t="str">
        <f>TEXT(Table1[[#This Row],[Date]],"MMM")</f>
        <v>May</v>
      </c>
      <c r="D228" s="2" t="str">
        <f>"Q"&amp;ROUNDUP(MONTH(Table1[[#This Row],[Date]])/3,0)</f>
        <v>Q2</v>
      </c>
      <c r="E228" s="2">
        <f>YEAR(Table1[[#This Row],[Date]])</f>
        <v>2024</v>
      </c>
      <c r="F228" s="2" t="s">
        <v>100</v>
      </c>
      <c r="G228" s="2" t="s">
        <v>64</v>
      </c>
      <c r="H228" s="2" t="s">
        <v>34</v>
      </c>
      <c r="I228" s="2" t="s">
        <v>146</v>
      </c>
      <c r="J228" s="2">
        <v>16</v>
      </c>
      <c r="K228" s="2">
        <v>3500</v>
      </c>
      <c r="L228" s="2">
        <v>5</v>
      </c>
      <c r="M228" s="2">
        <v>53200</v>
      </c>
      <c r="N228" s="23">
        <f>(Table1[[#This Row],[Profit (PKR)]]/Table1[[#This Row],[Total Revenue (PKR)]])</f>
        <v>0.45864661654135336</v>
      </c>
      <c r="O228" s="2">
        <v>1800</v>
      </c>
      <c r="P228" s="2">
        <v>28800</v>
      </c>
      <c r="Q228" s="2">
        <v>24400</v>
      </c>
      <c r="R228" s="2" t="s">
        <v>42</v>
      </c>
      <c r="S228" s="2" t="str">
        <f>IF(AND(Table1[[#This Row],[Total Revenue (PKR)]]&gt;50000, Table1[[#This Row],[Discount %]]&lt;10),"High Value","Standard")</f>
        <v>High Value</v>
      </c>
      <c r="T228" s="2" t="s">
        <v>23</v>
      </c>
      <c r="U228" s="6" t="s">
        <v>56</v>
      </c>
      <c r="V228" s="19" t="s">
        <v>223</v>
      </c>
    </row>
    <row r="229" spans="1:22" x14ac:dyDescent="0.25">
      <c r="A229" s="5" t="s">
        <v>465</v>
      </c>
      <c r="B229" s="16">
        <f>DATEVALUE(Table1[[#This Row],[Date2]])</f>
        <v>45483</v>
      </c>
      <c r="C229" s="3" t="str">
        <f>TEXT(Table1[[#This Row],[Date]],"MMM")</f>
        <v>Jul</v>
      </c>
      <c r="D229" s="3" t="str">
        <f>"Q"&amp;ROUNDUP(MONTH(Table1[[#This Row],[Date]])/3,0)</f>
        <v>Q3</v>
      </c>
      <c r="E229" s="3">
        <f>YEAR(Table1[[#This Row],[Date]])</f>
        <v>2024</v>
      </c>
      <c r="F229" s="3" t="s">
        <v>77</v>
      </c>
      <c r="G229" s="3" t="s">
        <v>74</v>
      </c>
      <c r="H229" s="3" t="s">
        <v>53</v>
      </c>
      <c r="I229" s="3" t="s">
        <v>54</v>
      </c>
      <c r="J229" s="3">
        <v>8</v>
      </c>
      <c r="K229" s="3">
        <v>2000</v>
      </c>
      <c r="L229" s="3">
        <v>25</v>
      </c>
      <c r="M229" s="3">
        <v>12000</v>
      </c>
      <c r="N229" s="24">
        <f>(Table1[[#This Row],[Profit (PKR)]]/Table1[[#This Row],[Total Revenue (PKR)]])</f>
        <v>0.2</v>
      </c>
      <c r="O229" s="3">
        <v>1200</v>
      </c>
      <c r="P229" s="3">
        <v>9600</v>
      </c>
      <c r="Q229" s="3">
        <v>2400</v>
      </c>
      <c r="R229" s="3" t="s">
        <v>22</v>
      </c>
      <c r="S229" s="3" t="str">
        <f>IF(AND(Table1[[#This Row],[Total Revenue (PKR)]]&gt;50000, Table1[[#This Row],[Discount %]]&lt;10),"High Value","Standard")</f>
        <v>Standard</v>
      </c>
      <c r="T229" s="3" t="s">
        <v>30</v>
      </c>
      <c r="U229" s="7" t="s">
        <v>44</v>
      </c>
      <c r="V229" s="20" t="s">
        <v>466</v>
      </c>
    </row>
    <row r="230" spans="1:22" x14ac:dyDescent="0.25">
      <c r="A230" s="4" t="s">
        <v>467</v>
      </c>
      <c r="B230" s="15">
        <f>DATEVALUE(Table1[[#This Row],[Date2]])</f>
        <v>45652</v>
      </c>
      <c r="C230" s="2" t="str">
        <f>TEXT(Table1[[#This Row],[Date]],"MMM")</f>
        <v>Dec</v>
      </c>
      <c r="D230" s="2" t="str">
        <f>"Q"&amp;ROUNDUP(MONTH(Table1[[#This Row],[Date]])/3,0)</f>
        <v>Q4</v>
      </c>
      <c r="E230" s="2">
        <f>YEAR(Table1[[#This Row],[Date]])</f>
        <v>2024</v>
      </c>
      <c r="F230" s="2" t="s">
        <v>100</v>
      </c>
      <c r="G230" s="2" t="s">
        <v>159</v>
      </c>
      <c r="H230" s="2" t="s">
        <v>53</v>
      </c>
      <c r="I230" s="2" t="s">
        <v>82</v>
      </c>
      <c r="J230" s="2">
        <v>2</v>
      </c>
      <c r="K230" s="2">
        <v>4000</v>
      </c>
      <c r="L230" s="2">
        <v>20</v>
      </c>
      <c r="M230" s="2">
        <v>6400</v>
      </c>
      <c r="N230" s="23">
        <f>(Table1[[#This Row],[Profit (PKR)]]/Table1[[#This Row],[Total Revenue (PKR)]])</f>
        <v>0.21875</v>
      </c>
      <c r="O230" s="2">
        <v>2500</v>
      </c>
      <c r="P230" s="2">
        <v>5000</v>
      </c>
      <c r="Q230" s="2">
        <v>1400</v>
      </c>
      <c r="R230" s="2" t="s">
        <v>22</v>
      </c>
      <c r="S230" s="2" t="str">
        <f>IF(AND(Table1[[#This Row],[Total Revenue (PKR)]]&gt;50000, Table1[[#This Row],[Discount %]]&lt;10),"High Value","Standard")</f>
        <v>Standard</v>
      </c>
      <c r="T230" s="2" t="s">
        <v>30</v>
      </c>
      <c r="U230" s="6" t="s">
        <v>44</v>
      </c>
      <c r="V230" s="19" t="s">
        <v>468</v>
      </c>
    </row>
    <row r="231" spans="1:22" x14ac:dyDescent="0.25">
      <c r="A231" s="5" t="s">
        <v>469</v>
      </c>
      <c r="B231" s="16">
        <f>DATEVALUE(Table1[[#This Row],[Date2]])</f>
        <v>45376</v>
      </c>
      <c r="C231" s="3" t="str">
        <f>TEXT(Table1[[#This Row],[Date]],"MMM")</f>
        <v>Mar</v>
      </c>
      <c r="D231" s="3" t="str">
        <f>"Q"&amp;ROUNDUP(MONTH(Table1[[#This Row],[Date]])/3,0)</f>
        <v>Q1</v>
      </c>
      <c r="E231" s="3">
        <f>YEAR(Table1[[#This Row],[Date]])</f>
        <v>2024</v>
      </c>
      <c r="F231" s="3" t="s">
        <v>100</v>
      </c>
      <c r="G231" s="3" t="s">
        <v>74</v>
      </c>
      <c r="H231" s="3" t="s">
        <v>28</v>
      </c>
      <c r="I231" s="3" t="s">
        <v>116</v>
      </c>
      <c r="J231" s="3">
        <v>19</v>
      </c>
      <c r="K231" s="3">
        <v>85000</v>
      </c>
      <c r="L231" s="3">
        <v>15</v>
      </c>
      <c r="M231" s="3">
        <v>1372750</v>
      </c>
      <c r="N231" s="24">
        <f>(Table1[[#This Row],[Profit (PKR)]]/Table1[[#This Row],[Total Revenue (PKR)]])</f>
        <v>0.10034602076124567</v>
      </c>
      <c r="O231" s="3">
        <v>65000</v>
      </c>
      <c r="P231" s="3">
        <v>1235000</v>
      </c>
      <c r="Q231" s="3">
        <v>137750</v>
      </c>
      <c r="R231" s="3" t="s">
        <v>22</v>
      </c>
      <c r="S231" s="3" t="str">
        <f>IF(AND(Table1[[#This Row],[Total Revenue (PKR)]]&gt;50000, Table1[[#This Row],[Discount %]]&lt;10),"High Value","Standard")</f>
        <v>Standard</v>
      </c>
      <c r="T231" s="3" t="s">
        <v>30</v>
      </c>
      <c r="U231" s="7" t="s">
        <v>44</v>
      </c>
      <c r="V231" s="20" t="s">
        <v>470</v>
      </c>
    </row>
    <row r="232" spans="1:22" x14ac:dyDescent="0.25">
      <c r="A232" s="4" t="s">
        <v>471</v>
      </c>
      <c r="B232" s="15">
        <f>DATEVALUE(Table1[[#This Row],[Date2]])</f>
        <v>45320</v>
      </c>
      <c r="C232" s="2" t="str">
        <f>TEXT(Table1[[#This Row],[Date]],"MMM")</f>
        <v>Jan</v>
      </c>
      <c r="D232" s="2" t="str">
        <f>"Q"&amp;ROUNDUP(MONTH(Table1[[#This Row],[Date]])/3,0)</f>
        <v>Q1</v>
      </c>
      <c r="E232" s="2">
        <f>YEAR(Table1[[#This Row],[Date]])</f>
        <v>2024</v>
      </c>
      <c r="F232" s="2" t="s">
        <v>122</v>
      </c>
      <c r="G232" s="2" t="s">
        <v>40</v>
      </c>
      <c r="H232" s="2" t="s">
        <v>53</v>
      </c>
      <c r="I232" s="2" t="s">
        <v>71</v>
      </c>
      <c r="J232" s="2">
        <v>15</v>
      </c>
      <c r="K232" s="2">
        <v>8000</v>
      </c>
      <c r="L232" s="2">
        <v>20</v>
      </c>
      <c r="M232" s="2">
        <v>96000</v>
      </c>
      <c r="N232" s="23">
        <f>(Table1[[#This Row],[Profit (PKR)]]/Table1[[#This Row],[Total Revenue (PKR)]])</f>
        <v>0.21875</v>
      </c>
      <c r="O232" s="2">
        <v>5000</v>
      </c>
      <c r="P232" s="2">
        <v>75000</v>
      </c>
      <c r="Q232" s="2">
        <v>21000</v>
      </c>
      <c r="R232" s="2" t="s">
        <v>22</v>
      </c>
      <c r="S232" s="2" t="str">
        <f>IF(AND(Table1[[#This Row],[Total Revenue (PKR)]]&gt;50000, Table1[[#This Row],[Discount %]]&lt;10),"High Value","Standard")</f>
        <v>Standard</v>
      </c>
      <c r="T232" s="2" t="s">
        <v>30</v>
      </c>
      <c r="U232" s="6" t="s">
        <v>44</v>
      </c>
      <c r="V232" s="19" t="s">
        <v>412</v>
      </c>
    </row>
    <row r="233" spans="1:22" x14ac:dyDescent="0.25">
      <c r="A233" s="5" t="s">
        <v>472</v>
      </c>
      <c r="B233" s="16">
        <f>DATEVALUE(Table1[[#This Row],[Date2]])</f>
        <v>45449</v>
      </c>
      <c r="C233" s="3" t="str">
        <f>TEXT(Table1[[#This Row],[Date]],"MMM")</f>
        <v>Jun</v>
      </c>
      <c r="D233" s="3" t="str">
        <f>"Q"&amp;ROUNDUP(MONTH(Table1[[#This Row],[Date]])/3,0)</f>
        <v>Q2</v>
      </c>
      <c r="E233" s="3">
        <f>YEAR(Table1[[#This Row],[Date]])</f>
        <v>2024</v>
      </c>
      <c r="F233" s="3" t="s">
        <v>104</v>
      </c>
      <c r="G233" s="3" t="s">
        <v>27</v>
      </c>
      <c r="H233" s="3" t="s">
        <v>20</v>
      </c>
      <c r="I233" s="3" t="s">
        <v>65</v>
      </c>
      <c r="J233" s="3">
        <v>7</v>
      </c>
      <c r="K233" s="3">
        <v>18000</v>
      </c>
      <c r="L233" s="3">
        <v>20</v>
      </c>
      <c r="M233" s="3">
        <v>100800</v>
      </c>
      <c r="N233" s="24">
        <f>(Table1[[#This Row],[Profit (PKR)]]/Table1[[#This Row],[Total Revenue (PKR)]])</f>
        <v>0.16666666666666666</v>
      </c>
      <c r="O233" s="3">
        <v>12000</v>
      </c>
      <c r="P233" s="3">
        <v>84000</v>
      </c>
      <c r="Q233" s="3">
        <v>16800</v>
      </c>
      <c r="R233" s="3" t="s">
        <v>22</v>
      </c>
      <c r="S233" s="3" t="str">
        <f>IF(AND(Table1[[#This Row],[Total Revenue (PKR)]]&gt;50000, Table1[[#This Row],[Discount %]]&lt;10),"High Value","Standard")</f>
        <v>Standard</v>
      </c>
      <c r="T233" s="3" t="s">
        <v>43</v>
      </c>
      <c r="U233" s="7" t="s">
        <v>44</v>
      </c>
      <c r="V233" s="20" t="s">
        <v>88</v>
      </c>
    </row>
    <row r="234" spans="1:22" x14ac:dyDescent="0.25">
      <c r="A234" s="4" t="s">
        <v>473</v>
      </c>
      <c r="B234" s="15">
        <f>DATEVALUE(Table1[[#This Row],[Date2]])</f>
        <v>45650</v>
      </c>
      <c r="C234" s="2" t="str">
        <f>TEXT(Table1[[#This Row],[Date]],"MMM")</f>
        <v>Dec</v>
      </c>
      <c r="D234" s="2" t="str">
        <f>"Q"&amp;ROUNDUP(MONTH(Table1[[#This Row],[Date]])/3,0)</f>
        <v>Q4</v>
      </c>
      <c r="E234" s="2">
        <f>YEAR(Table1[[#This Row],[Date]])</f>
        <v>2024</v>
      </c>
      <c r="F234" s="2" t="s">
        <v>18</v>
      </c>
      <c r="G234" s="2" t="s">
        <v>19</v>
      </c>
      <c r="H234" s="2" t="s">
        <v>28</v>
      </c>
      <c r="I234" s="2" t="s">
        <v>49</v>
      </c>
      <c r="J234" s="2">
        <v>2</v>
      </c>
      <c r="K234" s="2">
        <v>5000</v>
      </c>
      <c r="L234" s="2">
        <v>10</v>
      </c>
      <c r="M234" s="2">
        <v>9000</v>
      </c>
      <c r="N234" s="23">
        <f>(Table1[[#This Row],[Profit (PKR)]]/Table1[[#This Row],[Total Revenue (PKR)]])</f>
        <v>0.33333333333333331</v>
      </c>
      <c r="O234" s="2">
        <v>3000</v>
      </c>
      <c r="P234" s="2">
        <v>6000</v>
      </c>
      <c r="Q234" s="2">
        <v>3000</v>
      </c>
      <c r="R234" s="2" t="s">
        <v>42</v>
      </c>
      <c r="S234" s="2" t="str">
        <f>IF(AND(Table1[[#This Row],[Total Revenue (PKR)]]&gt;50000, Table1[[#This Row],[Discount %]]&lt;10),"High Value","Standard")</f>
        <v>Standard</v>
      </c>
      <c r="T234" s="2" t="s">
        <v>36</v>
      </c>
      <c r="U234" s="6" t="s">
        <v>86</v>
      </c>
      <c r="V234" s="19" t="s">
        <v>474</v>
      </c>
    </row>
    <row r="235" spans="1:22" x14ac:dyDescent="0.25">
      <c r="A235" s="5" t="s">
        <v>475</v>
      </c>
      <c r="B235" s="16">
        <f>DATEVALUE(Table1[[#This Row],[Date2]])</f>
        <v>45620</v>
      </c>
      <c r="C235" s="3" t="str">
        <f>TEXT(Table1[[#This Row],[Date]],"MMM")</f>
        <v>Nov</v>
      </c>
      <c r="D235" s="3" t="str">
        <f>"Q"&amp;ROUNDUP(MONTH(Table1[[#This Row],[Date]])/3,0)</f>
        <v>Q4</v>
      </c>
      <c r="E235" s="3">
        <f>YEAR(Table1[[#This Row],[Date]])</f>
        <v>2024</v>
      </c>
      <c r="F235" s="3" t="s">
        <v>77</v>
      </c>
      <c r="G235" s="3" t="s">
        <v>52</v>
      </c>
      <c r="H235" s="3" t="s">
        <v>93</v>
      </c>
      <c r="I235" s="3" t="s">
        <v>109</v>
      </c>
      <c r="J235" s="3">
        <v>13</v>
      </c>
      <c r="K235" s="3">
        <v>700</v>
      </c>
      <c r="L235" s="3">
        <v>15</v>
      </c>
      <c r="M235" s="3">
        <v>7735</v>
      </c>
      <c r="N235" s="24">
        <f>(Table1[[#This Row],[Profit (PKR)]]/Table1[[#This Row],[Total Revenue (PKR)]])</f>
        <v>0.15966386554621848</v>
      </c>
      <c r="O235" s="3">
        <v>500</v>
      </c>
      <c r="P235" s="3">
        <v>6500</v>
      </c>
      <c r="Q235" s="3">
        <v>1235</v>
      </c>
      <c r="R235" s="3" t="s">
        <v>22</v>
      </c>
      <c r="S235" s="3" t="str">
        <f>IF(AND(Table1[[#This Row],[Total Revenue (PKR)]]&gt;50000, Table1[[#This Row],[Discount %]]&lt;10),"High Value","Standard")</f>
        <v>Standard</v>
      </c>
      <c r="T235" s="3" t="s">
        <v>23</v>
      </c>
      <c r="U235" s="7" t="s">
        <v>95</v>
      </c>
      <c r="V235" s="20" t="s">
        <v>410</v>
      </c>
    </row>
    <row r="236" spans="1:22" x14ac:dyDescent="0.25">
      <c r="A236" s="4" t="s">
        <v>476</v>
      </c>
      <c r="B236" s="15">
        <f>DATEVALUE(Table1[[#This Row],[Date2]])</f>
        <v>45568</v>
      </c>
      <c r="C236" s="2" t="str">
        <f>TEXT(Table1[[#This Row],[Date]],"MMM")</f>
        <v>Oct</v>
      </c>
      <c r="D236" s="2" t="str">
        <f>"Q"&amp;ROUNDUP(MONTH(Table1[[#This Row],[Date]])/3,0)</f>
        <v>Q4</v>
      </c>
      <c r="E236" s="2">
        <f>YEAR(Table1[[#This Row],[Date]])</f>
        <v>2024</v>
      </c>
      <c r="F236" s="2" t="s">
        <v>92</v>
      </c>
      <c r="G236" s="2" t="s">
        <v>52</v>
      </c>
      <c r="H236" s="2" t="s">
        <v>28</v>
      </c>
      <c r="I236" s="2" t="s">
        <v>116</v>
      </c>
      <c r="J236" s="2">
        <v>18</v>
      </c>
      <c r="K236" s="2">
        <v>85000</v>
      </c>
      <c r="L236" s="2">
        <v>15</v>
      </c>
      <c r="M236" s="2">
        <v>1300500</v>
      </c>
      <c r="N236" s="23">
        <f>(Table1[[#This Row],[Profit (PKR)]]/Table1[[#This Row],[Total Revenue (PKR)]])</f>
        <v>0.10034602076124567</v>
      </c>
      <c r="O236" s="2">
        <v>65000</v>
      </c>
      <c r="P236" s="2">
        <v>1170000</v>
      </c>
      <c r="Q236" s="2">
        <v>130500</v>
      </c>
      <c r="R236" s="2" t="s">
        <v>22</v>
      </c>
      <c r="S236" s="2" t="str">
        <f>IF(AND(Table1[[#This Row],[Total Revenue (PKR)]]&gt;50000, Table1[[#This Row],[Discount %]]&lt;10),"High Value","Standard")</f>
        <v>Standard</v>
      </c>
      <c r="T236" s="2" t="s">
        <v>23</v>
      </c>
      <c r="U236" s="6" t="s">
        <v>56</v>
      </c>
      <c r="V236" s="19" t="s">
        <v>195</v>
      </c>
    </row>
    <row r="237" spans="1:22" x14ac:dyDescent="0.25">
      <c r="A237" s="5" t="s">
        <v>477</v>
      </c>
      <c r="B237" s="16">
        <f>DATEVALUE(Table1[[#This Row],[Date2]])</f>
        <v>45293</v>
      </c>
      <c r="C237" s="3" t="str">
        <f>TEXT(Table1[[#This Row],[Date]],"MMM")</f>
        <v>Jan</v>
      </c>
      <c r="D237" s="3" t="str">
        <f>"Q"&amp;ROUNDUP(MONTH(Table1[[#This Row],[Date]])/3,0)</f>
        <v>Q1</v>
      </c>
      <c r="E237" s="3">
        <f>YEAR(Table1[[#This Row],[Date]])</f>
        <v>2024</v>
      </c>
      <c r="F237" s="3" t="s">
        <v>104</v>
      </c>
      <c r="G237" s="3" t="s">
        <v>48</v>
      </c>
      <c r="H237" s="3" t="s">
        <v>93</v>
      </c>
      <c r="I237" s="3" t="s">
        <v>94</v>
      </c>
      <c r="J237" s="3">
        <v>14</v>
      </c>
      <c r="K237" s="3">
        <v>1200</v>
      </c>
      <c r="L237" s="3">
        <v>20</v>
      </c>
      <c r="M237" s="3">
        <v>13440</v>
      </c>
      <c r="N237" s="24">
        <f>(Table1[[#This Row],[Profit (PKR)]]/Table1[[#This Row],[Total Revenue (PKR)]])</f>
        <v>6.25E-2</v>
      </c>
      <c r="O237" s="3">
        <v>900</v>
      </c>
      <c r="P237" s="3">
        <v>12600</v>
      </c>
      <c r="Q237" s="3">
        <v>840</v>
      </c>
      <c r="R237" s="3" t="s">
        <v>42</v>
      </c>
      <c r="S237" s="3" t="str">
        <f>IF(AND(Table1[[#This Row],[Total Revenue (PKR)]]&gt;50000, Table1[[#This Row],[Discount %]]&lt;10),"High Value","Standard")</f>
        <v>Standard</v>
      </c>
      <c r="T237" s="3" t="s">
        <v>36</v>
      </c>
      <c r="U237" s="7" t="s">
        <v>44</v>
      </c>
      <c r="V237" s="20" t="s">
        <v>478</v>
      </c>
    </row>
    <row r="238" spans="1:22" x14ac:dyDescent="0.25">
      <c r="A238" s="4" t="s">
        <v>479</v>
      </c>
      <c r="B238" s="15">
        <f>DATEVALUE(Table1[[#This Row],[Date2]])</f>
        <v>45469</v>
      </c>
      <c r="C238" s="2" t="str">
        <f>TEXT(Table1[[#This Row],[Date]],"MMM")</f>
        <v>Jun</v>
      </c>
      <c r="D238" s="2" t="str">
        <f>"Q"&amp;ROUNDUP(MONTH(Table1[[#This Row],[Date]])/3,0)</f>
        <v>Q2</v>
      </c>
      <c r="E238" s="2">
        <f>YEAR(Table1[[#This Row],[Date]])</f>
        <v>2024</v>
      </c>
      <c r="F238" s="2" t="s">
        <v>92</v>
      </c>
      <c r="G238" s="2" t="s">
        <v>48</v>
      </c>
      <c r="H238" s="2" t="s">
        <v>34</v>
      </c>
      <c r="I238" s="2" t="s">
        <v>196</v>
      </c>
      <c r="J238" s="2">
        <v>2</v>
      </c>
      <c r="K238" s="2">
        <v>2500</v>
      </c>
      <c r="L238" s="2">
        <v>25</v>
      </c>
      <c r="M238" s="2">
        <v>3750</v>
      </c>
      <c r="N238" s="23">
        <f>(Table1[[#This Row],[Profit (PKR)]]/Table1[[#This Row],[Total Revenue (PKR)]])</f>
        <v>0.36</v>
      </c>
      <c r="O238" s="2">
        <v>1200</v>
      </c>
      <c r="P238" s="2">
        <v>2400</v>
      </c>
      <c r="Q238" s="2">
        <v>1350</v>
      </c>
      <c r="R238" s="2" t="s">
        <v>42</v>
      </c>
      <c r="S238" s="2" t="str">
        <f>IF(AND(Table1[[#This Row],[Total Revenue (PKR)]]&gt;50000, Table1[[#This Row],[Discount %]]&lt;10),"High Value","Standard")</f>
        <v>Standard</v>
      </c>
      <c r="T238" s="2" t="s">
        <v>30</v>
      </c>
      <c r="U238" s="6" t="s">
        <v>86</v>
      </c>
      <c r="V238" s="19" t="s">
        <v>480</v>
      </c>
    </row>
    <row r="239" spans="1:22" x14ac:dyDescent="0.25">
      <c r="A239" s="5" t="s">
        <v>481</v>
      </c>
      <c r="B239" s="16">
        <f>DATEVALUE(Table1[[#This Row],[Date2]])</f>
        <v>45300</v>
      </c>
      <c r="C239" s="3" t="str">
        <f>TEXT(Table1[[#This Row],[Date]],"MMM")</f>
        <v>Jan</v>
      </c>
      <c r="D239" s="3" t="str">
        <f>"Q"&amp;ROUNDUP(MONTH(Table1[[#This Row],[Date]])/3,0)</f>
        <v>Q1</v>
      </c>
      <c r="E239" s="3">
        <f>YEAR(Table1[[#This Row],[Date]])</f>
        <v>2024</v>
      </c>
      <c r="F239" s="3" t="s">
        <v>33</v>
      </c>
      <c r="G239" s="3" t="s">
        <v>64</v>
      </c>
      <c r="H239" s="3" t="s">
        <v>28</v>
      </c>
      <c r="I239" s="3" t="s">
        <v>29</v>
      </c>
      <c r="J239" s="3">
        <v>20</v>
      </c>
      <c r="K239" s="3">
        <v>25000</v>
      </c>
      <c r="L239" s="3">
        <v>0</v>
      </c>
      <c r="M239" s="3">
        <v>500000</v>
      </c>
      <c r="N239" s="24">
        <f>(Table1[[#This Row],[Profit (PKR)]]/Table1[[#This Row],[Total Revenue (PKR)]])</f>
        <v>0.28000000000000003</v>
      </c>
      <c r="O239" s="3">
        <v>18000</v>
      </c>
      <c r="P239" s="3">
        <v>360000</v>
      </c>
      <c r="Q239" s="3">
        <v>140000</v>
      </c>
      <c r="R239" s="3" t="s">
        <v>42</v>
      </c>
      <c r="S239" s="3" t="str">
        <f>IF(AND(Table1[[#This Row],[Total Revenue (PKR)]]&gt;50000, Table1[[#This Row],[Discount %]]&lt;10),"High Value","Standard")</f>
        <v>High Value</v>
      </c>
      <c r="T239" s="3" t="s">
        <v>30</v>
      </c>
      <c r="U239" s="7" t="s">
        <v>24</v>
      </c>
      <c r="V239" s="20" t="s">
        <v>383</v>
      </c>
    </row>
    <row r="240" spans="1:22" x14ac:dyDescent="0.25">
      <c r="A240" s="4" t="s">
        <v>482</v>
      </c>
      <c r="B240" s="15">
        <f>DATEVALUE(Table1[[#This Row],[Date2]])</f>
        <v>45316</v>
      </c>
      <c r="C240" s="2" t="str">
        <f>TEXT(Table1[[#This Row],[Date]],"MMM")</f>
        <v>Jan</v>
      </c>
      <c r="D240" s="2" t="str">
        <f>"Q"&amp;ROUNDUP(MONTH(Table1[[#This Row],[Date]])/3,0)</f>
        <v>Q1</v>
      </c>
      <c r="E240" s="2">
        <f>YEAR(Table1[[#This Row],[Date]])</f>
        <v>2024</v>
      </c>
      <c r="F240" s="2" t="s">
        <v>33</v>
      </c>
      <c r="G240" s="2" t="s">
        <v>19</v>
      </c>
      <c r="H240" s="2" t="s">
        <v>93</v>
      </c>
      <c r="I240" s="2" t="s">
        <v>109</v>
      </c>
      <c r="J240" s="2">
        <v>8</v>
      </c>
      <c r="K240" s="2">
        <v>700</v>
      </c>
      <c r="L240" s="2">
        <v>20</v>
      </c>
      <c r="M240" s="2">
        <v>4480</v>
      </c>
      <c r="N240" s="23">
        <f>(Table1[[#This Row],[Profit (PKR)]]/Table1[[#This Row],[Total Revenue (PKR)]])</f>
        <v>0.10714285714285714</v>
      </c>
      <c r="O240" s="2">
        <v>500</v>
      </c>
      <c r="P240" s="2">
        <v>4000</v>
      </c>
      <c r="Q240" s="2">
        <v>480</v>
      </c>
      <c r="R240" s="2" t="s">
        <v>22</v>
      </c>
      <c r="S240" s="2" t="str">
        <f>IF(AND(Table1[[#This Row],[Total Revenue (PKR)]]&gt;50000, Table1[[#This Row],[Discount %]]&lt;10),"High Value","Standard")</f>
        <v>Standard</v>
      </c>
      <c r="T240" s="2" t="s">
        <v>43</v>
      </c>
      <c r="U240" s="6" t="s">
        <v>44</v>
      </c>
      <c r="V240" s="19" t="s">
        <v>483</v>
      </c>
    </row>
    <row r="241" spans="1:22" x14ac:dyDescent="0.25">
      <c r="A241" s="5" t="s">
        <v>484</v>
      </c>
      <c r="B241" s="16">
        <f>DATEVALUE(Table1[[#This Row],[Date2]])</f>
        <v>45440</v>
      </c>
      <c r="C241" s="3" t="str">
        <f>TEXT(Table1[[#This Row],[Date]],"MMM")</f>
        <v>May</v>
      </c>
      <c r="D241" s="3" t="str">
        <f>"Q"&amp;ROUNDUP(MONTH(Table1[[#This Row],[Date]])/3,0)</f>
        <v>Q2</v>
      </c>
      <c r="E241" s="3">
        <f>YEAR(Table1[[#This Row],[Date]])</f>
        <v>2024</v>
      </c>
      <c r="F241" s="3" t="s">
        <v>33</v>
      </c>
      <c r="G241" s="3" t="s">
        <v>52</v>
      </c>
      <c r="H241" s="3" t="s">
        <v>53</v>
      </c>
      <c r="I241" s="3" t="s">
        <v>101</v>
      </c>
      <c r="J241" s="3">
        <v>11</v>
      </c>
      <c r="K241" s="3">
        <v>1200</v>
      </c>
      <c r="L241" s="3">
        <v>5</v>
      </c>
      <c r="M241" s="3">
        <v>12540</v>
      </c>
      <c r="N241" s="24">
        <f>(Table1[[#This Row],[Profit (PKR)]]/Table1[[#This Row],[Total Revenue (PKR)]])</f>
        <v>0.38596491228070173</v>
      </c>
      <c r="O241" s="3">
        <v>700</v>
      </c>
      <c r="P241" s="3">
        <v>7700</v>
      </c>
      <c r="Q241" s="3">
        <v>4840</v>
      </c>
      <c r="R241" s="3" t="s">
        <v>42</v>
      </c>
      <c r="S241" s="3" t="str">
        <f>IF(AND(Table1[[#This Row],[Total Revenue (PKR)]]&gt;50000, Table1[[#This Row],[Discount %]]&lt;10),"High Value","Standard")</f>
        <v>Standard</v>
      </c>
      <c r="T241" s="3" t="s">
        <v>36</v>
      </c>
      <c r="U241" s="7" t="s">
        <v>56</v>
      </c>
      <c r="V241" s="20" t="s">
        <v>485</v>
      </c>
    </row>
    <row r="242" spans="1:22" x14ac:dyDescent="0.25">
      <c r="A242" s="4" t="s">
        <v>486</v>
      </c>
      <c r="B242" s="15">
        <f>DATEVALUE(Table1[[#This Row],[Date2]])</f>
        <v>45558</v>
      </c>
      <c r="C242" s="2" t="str">
        <f>TEXT(Table1[[#This Row],[Date]],"MMM")</f>
        <v>Sep</v>
      </c>
      <c r="D242" s="2" t="str">
        <f>"Q"&amp;ROUNDUP(MONTH(Table1[[#This Row],[Date]])/3,0)</f>
        <v>Q3</v>
      </c>
      <c r="E242" s="2">
        <f>YEAR(Table1[[#This Row],[Date]])</f>
        <v>2024</v>
      </c>
      <c r="F242" s="2" t="s">
        <v>33</v>
      </c>
      <c r="G242" s="2" t="s">
        <v>27</v>
      </c>
      <c r="H242" s="2" t="s">
        <v>20</v>
      </c>
      <c r="I242" s="2" t="s">
        <v>182</v>
      </c>
      <c r="J242" s="2">
        <v>2</v>
      </c>
      <c r="K242" s="2">
        <v>5000</v>
      </c>
      <c r="L242" s="2">
        <v>20</v>
      </c>
      <c r="M242" s="2">
        <v>8000</v>
      </c>
      <c r="N242" s="23">
        <f>(Table1[[#This Row],[Profit (PKR)]]/Table1[[#This Row],[Total Revenue (PKR)]])</f>
        <v>0.25</v>
      </c>
      <c r="O242" s="2">
        <v>3000</v>
      </c>
      <c r="P242" s="2">
        <v>6000</v>
      </c>
      <c r="Q242" s="2">
        <v>2000</v>
      </c>
      <c r="R242" s="2" t="s">
        <v>22</v>
      </c>
      <c r="S242" s="2" t="str">
        <f>IF(AND(Table1[[#This Row],[Total Revenue (PKR)]]&gt;50000, Table1[[#This Row],[Discount %]]&lt;10),"High Value","Standard")</f>
        <v>Standard</v>
      </c>
      <c r="T242" s="2" t="s">
        <v>23</v>
      </c>
      <c r="U242" s="6" t="s">
        <v>24</v>
      </c>
      <c r="V242" s="19" t="s">
        <v>161</v>
      </c>
    </row>
    <row r="243" spans="1:22" x14ac:dyDescent="0.25">
      <c r="A243" s="5" t="s">
        <v>487</v>
      </c>
      <c r="B243" s="16">
        <f>DATEVALUE(Table1[[#This Row],[Date2]])</f>
        <v>45576</v>
      </c>
      <c r="C243" s="3" t="str">
        <f>TEXT(Table1[[#This Row],[Date]],"MMM")</f>
        <v>Oct</v>
      </c>
      <c r="D243" s="3" t="str">
        <f>"Q"&amp;ROUNDUP(MONTH(Table1[[#This Row],[Date]])/3,0)</f>
        <v>Q4</v>
      </c>
      <c r="E243" s="3">
        <f>YEAR(Table1[[#This Row],[Date]])</f>
        <v>2024</v>
      </c>
      <c r="F243" s="3" t="s">
        <v>122</v>
      </c>
      <c r="G243" s="3" t="s">
        <v>19</v>
      </c>
      <c r="H243" s="3" t="s">
        <v>20</v>
      </c>
      <c r="I243" s="3" t="s">
        <v>59</v>
      </c>
      <c r="J243" s="3">
        <v>17</v>
      </c>
      <c r="K243" s="3">
        <v>12000</v>
      </c>
      <c r="L243" s="3">
        <v>10</v>
      </c>
      <c r="M243" s="3">
        <v>183600</v>
      </c>
      <c r="N243" s="24">
        <f>(Table1[[#This Row],[Profit (PKR)]]/Table1[[#This Row],[Total Revenue (PKR)]])</f>
        <v>0.25925925925925924</v>
      </c>
      <c r="O243" s="3">
        <v>8000</v>
      </c>
      <c r="P243" s="3">
        <v>136000</v>
      </c>
      <c r="Q243" s="3">
        <v>47600</v>
      </c>
      <c r="R243" s="3" t="s">
        <v>42</v>
      </c>
      <c r="S243" s="3" t="str">
        <f>IF(AND(Table1[[#This Row],[Total Revenue (PKR)]]&gt;50000, Table1[[#This Row],[Discount %]]&lt;10),"High Value","Standard")</f>
        <v>Standard</v>
      </c>
      <c r="T243" s="3" t="s">
        <v>66</v>
      </c>
      <c r="U243" s="7" t="s">
        <v>44</v>
      </c>
      <c r="V243" s="20" t="s">
        <v>121</v>
      </c>
    </row>
    <row r="244" spans="1:22" x14ac:dyDescent="0.25">
      <c r="A244" s="4" t="s">
        <v>488</v>
      </c>
      <c r="B244" s="15">
        <f>DATEVALUE(Table1[[#This Row],[Date2]])</f>
        <v>45484</v>
      </c>
      <c r="C244" s="2" t="str">
        <f>TEXT(Table1[[#This Row],[Date]],"MMM")</f>
        <v>Jul</v>
      </c>
      <c r="D244" s="2" t="str">
        <f>"Q"&amp;ROUNDUP(MONTH(Table1[[#This Row],[Date]])/3,0)</f>
        <v>Q3</v>
      </c>
      <c r="E244" s="2">
        <f>YEAR(Table1[[#This Row],[Date]])</f>
        <v>2024</v>
      </c>
      <c r="F244" s="2" t="s">
        <v>92</v>
      </c>
      <c r="G244" s="2" t="s">
        <v>74</v>
      </c>
      <c r="H244" s="2" t="s">
        <v>34</v>
      </c>
      <c r="I244" s="2" t="s">
        <v>146</v>
      </c>
      <c r="J244" s="2">
        <v>10</v>
      </c>
      <c r="K244" s="2">
        <v>3500</v>
      </c>
      <c r="L244" s="2">
        <v>25</v>
      </c>
      <c r="M244" s="2">
        <v>26250</v>
      </c>
      <c r="N244" s="23">
        <f>(Table1[[#This Row],[Profit (PKR)]]/Table1[[#This Row],[Total Revenue (PKR)]])</f>
        <v>0.31428571428571428</v>
      </c>
      <c r="O244" s="2">
        <v>1800</v>
      </c>
      <c r="P244" s="2">
        <v>18000</v>
      </c>
      <c r="Q244" s="2">
        <v>8250</v>
      </c>
      <c r="R244" s="2" t="s">
        <v>22</v>
      </c>
      <c r="S244" s="2" t="str">
        <f>IF(AND(Table1[[#This Row],[Total Revenue (PKR)]]&gt;50000, Table1[[#This Row],[Discount %]]&lt;10),"High Value","Standard")</f>
        <v>Standard</v>
      </c>
      <c r="T244" s="2" t="s">
        <v>66</v>
      </c>
      <c r="U244" s="6" t="s">
        <v>95</v>
      </c>
      <c r="V244" s="19" t="s">
        <v>202</v>
      </c>
    </row>
    <row r="245" spans="1:22" x14ac:dyDescent="0.25">
      <c r="A245" s="5" t="s">
        <v>489</v>
      </c>
      <c r="B245" s="16">
        <f>DATEVALUE(Table1[[#This Row],[Date2]])</f>
        <v>45579</v>
      </c>
      <c r="C245" s="3" t="str">
        <f>TEXT(Table1[[#This Row],[Date]],"MMM")</f>
        <v>Oct</v>
      </c>
      <c r="D245" s="3" t="str">
        <f>"Q"&amp;ROUNDUP(MONTH(Table1[[#This Row],[Date]])/3,0)</f>
        <v>Q4</v>
      </c>
      <c r="E245" s="3">
        <f>YEAR(Table1[[#This Row],[Date]])</f>
        <v>2024</v>
      </c>
      <c r="F245" s="3" t="s">
        <v>77</v>
      </c>
      <c r="G245" s="3" t="s">
        <v>27</v>
      </c>
      <c r="H245" s="3" t="s">
        <v>53</v>
      </c>
      <c r="I245" s="3" t="s">
        <v>101</v>
      </c>
      <c r="J245" s="3">
        <v>5</v>
      </c>
      <c r="K245" s="3">
        <v>1200</v>
      </c>
      <c r="L245" s="3">
        <v>15</v>
      </c>
      <c r="M245" s="3">
        <v>5100</v>
      </c>
      <c r="N245" s="24">
        <f>(Table1[[#This Row],[Profit (PKR)]]/Table1[[#This Row],[Total Revenue (PKR)]])</f>
        <v>0.31372549019607843</v>
      </c>
      <c r="O245" s="3">
        <v>700</v>
      </c>
      <c r="P245" s="3">
        <v>3500</v>
      </c>
      <c r="Q245" s="3">
        <v>1600</v>
      </c>
      <c r="R245" s="3" t="s">
        <v>22</v>
      </c>
      <c r="S245" s="3" t="str">
        <f>IF(AND(Table1[[#This Row],[Total Revenue (PKR)]]&gt;50000, Table1[[#This Row],[Discount %]]&lt;10),"High Value","Standard")</f>
        <v>Standard</v>
      </c>
      <c r="T245" s="3" t="s">
        <v>55</v>
      </c>
      <c r="U245" s="7" t="s">
        <v>44</v>
      </c>
      <c r="V245" s="20" t="s">
        <v>32</v>
      </c>
    </row>
    <row r="246" spans="1:22" x14ac:dyDescent="0.25">
      <c r="A246" s="4" t="s">
        <v>490</v>
      </c>
      <c r="B246" s="15">
        <f>DATEVALUE(Table1[[#This Row],[Date2]])</f>
        <v>45623</v>
      </c>
      <c r="C246" s="2" t="str">
        <f>TEXT(Table1[[#This Row],[Date]],"MMM")</f>
        <v>Nov</v>
      </c>
      <c r="D246" s="2" t="str">
        <f>"Q"&amp;ROUNDUP(MONTH(Table1[[#This Row],[Date]])/3,0)</f>
        <v>Q4</v>
      </c>
      <c r="E246" s="2">
        <f>YEAR(Table1[[#This Row],[Date]])</f>
        <v>2024</v>
      </c>
      <c r="F246" s="2" t="s">
        <v>18</v>
      </c>
      <c r="G246" s="2" t="s">
        <v>74</v>
      </c>
      <c r="H246" s="2" t="s">
        <v>20</v>
      </c>
      <c r="I246" s="2" t="s">
        <v>65</v>
      </c>
      <c r="J246" s="2">
        <v>18</v>
      </c>
      <c r="K246" s="2">
        <v>18000</v>
      </c>
      <c r="L246" s="2">
        <v>25</v>
      </c>
      <c r="M246" s="2">
        <v>243000</v>
      </c>
      <c r="N246" s="23">
        <f>(Table1[[#This Row],[Profit (PKR)]]/Table1[[#This Row],[Total Revenue (PKR)]])</f>
        <v>0.1111111111111111</v>
      </c>
      <c r="O246" s="2">
        <v>12000</v>
      </c>
      <c r="P246" s="2">
        <v>216000</v>
      </c>
      <c r="Q246" s="2">
        <v>27000</v>
      </c>
      <c r="R246" s="2" t="s">
        <v>22</v>
      </c>
      <c r="S246" s="2" t="str">
        <f>IF(AND(Table1[[#This Row],[Total Revenue (PKR)]]&gt;50000, Table1[[#This Row],[Discount %]]&lt;10),"High Value","Standard")</f>
        <v>Standard</v>
      </c>
      <c r="T246" s="2" t="s">
        <v>43</v>
      </c>
      <c r="U246" s="6" t="s">
        <v>44</v>
      </c>
      <c r="V246" s="19" t="s">
        <v>491</v>
      </c>
    </row>
    <row r="247" spans="1:22" x14ac:dyDescent="0.25">
      <c r="A247" s="5" t="s">
        <v>492</v>
      </c>
      <c r="B247" s="16">
        <f>DATEVALUE(Table1[[#This Row],[Date2]])</f>
        <v>45636</v>
      </c>
      <c r="C247" s="3" t="str">
        <f>TEXT(Table1[[#This Row],[Date]],"MMM")</f>
        <v>Dec</v>
      </c>
      <c r="D247" s="3" t="str">
        <f>"Q"&amp;ROUNDUP(MONTH(Table1[[#This Row],[Date]])/3,0)</f>
        <v>Q4</v>
      </c>
      <c r="E247" s="3">
        <f>YEAR(Table1[[#This Row],[Date]])</f>
        <v>2024</v>
      </c>
      <c r="F247" s="3" t="s">
        <v>47</v>
      </c>
      <c r="G247" s="3" t="s">
        <v>19</v>
      </c>
      <c r="H247" s="3" t="s">
        <v>28</v>
      </c>
      <c r="I247" s="3" t="s">
        <v>116</v>
      </c>
      <c r="J247" s="3">
        <v>19</v>
      </c>
      <c r="K247" s="3">
        <v>85000</v>
      </c>
      <c r="L247" s="3">
        <v>25</v>
      </c>
      <c r="M247" s="3">
        <v>1211250</v>
      </c>
      <c r="N247" s="24">
        <f>(Table1[[#This Row],[Profit (PKR)]]/Table1[[#This Row],[Total Revenue (PKR)]])</f>
        <v>-1.9607843137254902E-2</v>
      </c>
      <c r="O247" s="3">
        <v>65000</v>
      </c>
      <c r="P247" s="3">
        <v>1235000</v>
      </c>
      <c r="Q247" s="3">
        <v>-23750</v>
      </c>
      <c r="R247" s="3" t="s">
        <v>22</v>
      </c>
      <c r="S247" s="3" t="str">
        <f>IF(AND(Table1[[#This Row],[Total Revenue (PKR)]]&gt;50000, Table1[[#This Row],[Discount %]]&lt;10),"High Value","Standard")</f>
        <v>Standard</v>
      </c>
      <c r="T247" s="3" t="s">
        <v>66</v>
      </c>
      <c r="U247" s="7" t="s">
        <v>44</v>
      </c>
      <c r="V247" s="20" t="s">
        <v>291</v>
      </c>
    </row>
    <row r="248" spans="1:22" x14ac:dyDescent="0.25">
      <c r="A248" s="4" t="s">
        <v>493</v>
      </c>
      <c r="B248" s="15">
        <f>DATEVALUE(Table1[[#This Row],[Date2]])</f>
        <v>45462</v>
      </c>
      <c r="C248" s="2" t="str">
        <f>TEXT(Table1[[#This Row],[Date]],"MMM")</f>
        <v>Jun</v>
      </c>
      <c r="D248" s="2" t="str">
        <f>"Q"&amp;ROUNDUP(MONTH(Table1[[#This Row],[Date]])/3,0)</f>
        <v>Q2</v>
      </c>
      <c r="E248" s="2">
        <f>YEAR(Table1[[#This Row],[Date]])</f>
        <v>2024</v>
      </c>
      <c r="F248" s="2" t="s">
        <v>39</v>
      </c>
      <c r="G248" s="2" t="s">
        <v>19</v>
      </c>
      <c r="H248" s="2" t="s">
        <v>34</v>
      </c>
      <c r="I248" s="2" t="s">
        <v>146</v>
      </c>
      <c r="J248" s="2">
        <v>4</v>
      </c>
      <c r="K248" s="2">
        <v>3500</v>
      </c>
      <c r="L248" s="2">
        <v>25</v>
      </c>
      <c r="M248" s="2">
        <v>10500</v>
      </c>
      <c r="N248" s="23">
        <f>(Table1[[#This Row],[Profit (PKR)]]/Table1[[#This Row],[Total Revenue (PKR)]])</f>
        <v>0.31428571428571428</v>
      </c>
      <c r="O248" s="2">
        <v>1800</v>
      </c>
      <c r="P248" s="2">
        <v>7200</v>
      </c>
      <c r="Q248" s="2">
        <v>3300</v>
      </c>
      <c r="R248" s="2" t="s">
        <v>42</v>
      </c>
      <c r="S248" s="2" t="str">
        <f>IF(AND(Table1[[#This Row],[Total Revenue (PKR)]]&gt;50000, Table1[[#This Row],[Discount %]]&lt;10),"High Value","Standard")</f>
        <v>Standard</v>
      </c>
      <c r="T248" s="2" t="s">
        <v>36</v>
      </c>
      <c r="U248" s="6" t="s">
        <v>24</v>
      </c>
      <c r="V248" s="19" t="s">
        <v>141</v>
      </c>
    </row>
    <row r="249" spans="1:22" x14ac:dyDescent="0.25">
      <c r="A249" s="5" t="s">
        <v>494</v>
      </c>
      <c r="B249" s="16">
        <f>DATEVALUE(Table1[[#This Row],[Date2]])</f>
        <v>45652</v>
      </c>
      <c r="C249" s="3" t="str">
        <f>TEXT(Table1[[#This Row],[Date]],"MMM")</f>
        <v>Dec</v>
      </c>
      <c r="D249" s="3" t="str">
        <f>"Q"&amp;ROUNDUP(MONTH(Table1[[#This Row],[Date]])/3,0)</f>
        <v>Q4</v>
      </c>
      <c r="E249" s="3">
        <f>YEAR(Table1[[#This Row],[Date]])</f>
        <v>2024</v>
      </c>
      <c r="F249" s="3" t="s">
        <v>33</v>
      </c>
      <c r="G249" s="3" t="s">
        <v>27</v>
      </c>
      <c r="H249" s="3" t="s">
        <v>34</v>
      </c>
      <c r="I249" s="3" t="s">
        <v>89</v>
      </c>
      <c r="J249" s="3">
        <v>11</v>
      </c>
      <c r="K249" s="3">
        <v>4500</v>
      </c>
      <c r="L249" s="3">
        <v>10</v>
      </c>
      <c r="M249" s="3">
        <v>44550</v>
      </c>
      <c r="N249" s="24">
        <f>(Table1[[#This Row],[Profit (PKR)]]/Table1[[#This Row],[Total Revenue (PKR)]])</f>
        <v>0.38271604938271603</v>
      </c>
      <c r="O249" s="3">
        <v>2500</v>
      </c>
      <c r="P249" s="3">
        <v>27500</v>
      </c>
      <c r="Q249" s="3">
        <v>17050</v>
      </c>
      <c r="R249" s="3" t="s">
        <v>42</v>
      </c>
      <c r="S249" s="3" t="str">
        <f>IF(AND(Table1[[#This Row],[Total Revenue (PKR)]]&gt;50000, Table1[[#This Row],[Discount %]]&lt;10),"High Value","Standard")</f>
        <v>Standard</v>
      </c>
      <c r="T249" s="3" t="s">
        <v>66</v>
      </c>
      <c r="U249" s="7" t="s">
        <v>44</v>
      </c>
      <c r="V249" s="20" t="s">
        <v>468</v>
      </c>
    </row>
    <row r="250" spans="1:22" x14ac:dyDescent="0.25">
      <c r="A250" s="4" t="s">
        <v>495</v>
      </c>
      <c r="B250" s="15">
        <f>DATEVALUE(Table1[[#This Row],[Date2]])</f>
        <v>45475</v>
      </c>
      <c r="C250" s="2" t="str">
        <f>TEXT(Table1[[#This Row],[Date]],"MMM")</f>
        <v>Jul</v>
      </c>
      <c r="D250" s="2" t="str">
        <f>"Q"&amp;ROUNDUP(MONTH(Table1[[#This Row],[Date]])/3,0)</f>
        <v>Q3</v>
      </c>
      <c r="E250" s="2">
        <f>YEAR(Table1[[#This Row],[Date]])</f>
        <v>2024</v>
      </c>
      <c r="F250" s="2" t="s">
        <v>39</v>
      </c>
      <c r="G250" s="2" t="s">
        <v>48</v>
      </c>
      <c r="H250" s="2" t="s">
        <v>20</v>
      </c>
      <c r="I250" s="2" t="s">
        <v>137</v>
      </c>
      <c r="J250" s="2">
        <v>16</v>
      </c>
      <c r="K250" s="2">
        <v>15000</v>
      </c>
      <c r="L250" s="2">
        <v>15</v>
      </c>
      <c r="M250" s="2">
        <v>204000</v>
      </c>
      <c r="N250" s="23">
        <f>(Table1[[#This Row],[Profit (PKR)]]/Table1[[#This Row],[Total Revenue (PKR)]])</f>
        <v>0.21568627450980393</v>
      </c>
      <c r="O250" s="2">
        <v>10000</v>
      </c>
      <c r="P250" s="2">
        <v>160000</v>
      </c>
      <c r="Q250" s="2">
        <v>44000</v>
      </c>
      <c r="R250" s="2" t="s">
        <v>22</v>
      </c>
      <c r="S250" s="2" t="str">
        <f>IF(AND(Table1[[#This Row],[Total Revenue (PKR)]]&gt;50000, Table1[[#This Row],[Discount %]]&lt;10),"High Value","Standard")</f>
        <v>Standard</v>
      </c>
      <c r="T250" s="2" t="s">
        <v>23</v>
      </c>
      <c r="U250" s="6" t="s">
        <v>44</v>
      </c>
      <c r="V250" s="19" t="s">
        <v>282</v>
      </c>
    </row>
    <row r="251" spans="1:22" x14ac:dyDescent="0.25">
      <c r="A251" s="5" t="s">
        <v>496</v>
      </c>
      <c r="B251" s="16">
        <f>DATEVALUE(Table1[[#This Row],[Date2]])</f>
        <v>45455</v>
      </c>
      <c r="C251" s="3" t="str">
        <f>TEXT(Table1[[#This Row],[Date]],"MMM")</f>
        <v>Jun</v>
      </c>
      <c r="D251" s="3" t="str">
        <f>"Q"&amp;ROUNDUP(MONTH(Table1[[#This Row],[Date]])/3,0)</f>
        <v>Q2</v>
      </c>
      <c r="E251" s="3">
        <f>YEAR(Table1[[#This Row],[Date]])</f>
        <v>2024</v>
      </c>
      <c r="F251" s="3" t="s">
        <v>33</v>
      </c>
      <c r="G251" s="3" t="s">
        <v>52</v>
      </c>
      <c r="H251" s="3" t="s">
        <v>20</v>
      </c>
      <c r="I251" s="3" t="s">
        <v>59</v>
      </c>
      <c r="J251" s="3">
        <v>2</v>
      </c>
      <c r="K251" s="3">
        <v>12000</v>
      </c>
      <c r="L251" s="3">
        <v>20</v>
      </c>
      <c r="M251" s="3">
        <v>19200</v>
      </c>
      <c r="N251" s="24">
        <f>(Table1[[#This Row],[Profit (PKR)]]/Table1[[#This Row],[Total Revenue (PKR)]])</f>
        <v>0.16666666666666666</v>
      </c>
      <c r="O251" s="3">
        <v>8000</v>
      </c>
      <c r="P251" s="3">
        <v>16000</v>
      </c>
      <c r="Q251" s="3">
        <v>3200</v>
      </c>
      <c r="R251" s="3" t="s">
        <v>22</v>
      </c>
      <c r="S251" s="3" t="str">
        <f>IF(AND(Table1[[#This Row],[Total Revenue (PKR)]]&gt;50000, Table1[[#This Row],[Discount %]]&lt;10),"High Value","Standard")</f>
        <v>Standard</v>
      </c>
      <c r="T251" s="3" t="s">
        <v>23</v>
      </c>
      <c r="U251" s="7" t="s">
        <v>44</v>
      </c>
      <c r="V251" s="20" t="s">
        <v>497</v>
      </c>
    </row>
    <row r="252" spans="1:22" x14ac:dyDescent="0.25">
      <c r="A252" s="4" t="s">
        <v>498</v>
      </c>
      <c r="B252" s="15">
        <f>DATEVALUE(Table1[[#This Row],[Date2]])</f>
        <v>45425</v>
      </c>
      <c r="C252" s="2" t="str">
        <f>TEXT(Table1[[#This Row],[Date]],"MMM")</f>
        <v>May</v>
      </c>
      <c r="D252" s="2" t="str">
        <f>"Q"&amp;ROUNDUP(MONTH(Table1[[#This Row],[Date]])/3,0)</f>
        <v>Q2</v>
      </c>
      <c r="E252" s="2">
        <f>YEAR(Table1[[#This Row],[Date]])</f>
        <v>2024</v>
      </c>
      <c r="F252" s="2" t="s">
        <v>63</v>
      </c>
      <c r="G252" s="2" t="s">
        <v>27</v>
      </c>
      <c r="H252" s="2" t="s">
        <v>20</v>
      </c>
      <c r="I252" s="2" t="s">
        <v>21</v>
      </c>
      <c r="J252" s="2">
        <v>7</v>
      </c>
      <c r="K252" s="2">
        <v>3500</v>
      </c>
      <c r="L252" s="2">
        <v>10</v>
      </c>
      <c r="M252" s="2">
        <v>22050</v>
      </c>
      <c r="N252" s="23">
        <f>(Table1[[#This Row],[Profit (PKR)]]/Table1[[#This Row],[Total Revenue (PKR)]])</f>
        <v>0.36507936507936506</v>
      </c>
      <c r="O252" s="2">
        <v>2000</v>
      </c>
      <c r="P252" s="2">
        <v>14000</v>
      </c>
      <c r="Q252" s="2">
        <v>8050</v>
      </c>
      <c r="R252" s="2" t="s">
        <v>22</v>
      </c>
      <c r="S252" s="2" t="str">
        <f>IF(AND(Table1[[#This Row],[Total Revenue (PKR)]]&gt;50000, Table1[[#This Row],[Discount %]]&lt;10),"High Value","Standard")</f>
        <v>Standard</v>
      </c>
      <c r="T252" s="2" t="s">
        <v>66</v>
      </c>
      <c r="U252" s="6" t="s">
        <v>44</v>
      </c>
      <c r="V252" s="19" t="s">
        <v>156</v>
      </c>
    </row>
    <row r="253" spans="1:22" x14ac:dyDescent="0.25">
      <c r="A253" s="5" t="s">
        <v>499</v>
      </c>
      <c r="B253" s="16">
        <f>DATEVALUE(Table1[[#This Row],[Date2]])</f>
        <v>45417</v>
      </c>
      <c r="C253" s="3" t="str">
        <f>TEXT(Table1[[#This Row],[Date]],"MMM")</f>
        <v>May</v>
      </c>
      <c r="D253" s="3" t="str">
        <f>"Q"&amp;ROUNDUP(MONTH(Table1[[#This Row],[Date]])/3,0)</f>
        <v>Q2</v>
      </c>
      <c r="E253" s="3">
        <f>YEAR(Table1[[#This Row],[Date]])</f>
        <v>2024</v>
      </c>
      <c r="F253" s="3" t="s">
        <v>122</v>
      </c>
      <c r="G253" s="3" t="s">
        <v>52</v>
      </c>
      <c r="H253" s="3" t="s">
        <v>20</v>
      </c>
      <c r="I253" s="3" t="s">
        <v>59</v>
      </c>
      <c r="J253" s="3">
        <v>16</v>
      </c>
      <c r="K253" s="3">
        <v>12000</v>
      </c>
      <c r="L253" s="3">
        <v>15</v>
      </c>
      <c r="M253" s="3">
        <v>163200</v>
      </c>
      <c r="N253" s="24">
        <f>(Table1[[#This Row],[Profit (PKR)]]/Table1[[#This Row],[Total Revenue (PKR)]])</f>
        <v>0.21568627450980393</v>
      </c>
      <c r="O253" s="3">
        <v>8000</v>
      </c>
      <c r="P253" s="3">
        <v>128000</v>
      </c>
      <c r="Q253" s="3">
        <v>35200</v>
      </c>
      <c r="R253" s="3" t="s">
        <v>22</v>
      </c>
      <c r="S253" s="3" t="str">
        <f>IF(AND(Table1[[#This Row],[Total Revenue (PKR)]]&gt;50000, Table1[[#This Row],[Discount %]]&lt;10),"High Value","Standard")</f>
        <v>Standard</v>
      </c>
      <c r="T253" s="3" t="s">
        <v>23</v>
      </c>
      <c r="U253" s="7" t="s">
        <v>86</v>
      </c>
      <c r="V253" s="20" t="s">
        <v>500</v>
      </c>
    </row>
    <row r="254" spans="1:22" x14ac:dyDescent="0.25">
      <c r="A254" s="4" t="s">
        <v>501</v>
      </c>
      <c r="B254" s="15">
        <f>DATEVALUE(Table1[[#This Row],[Date2]])</f>
        <v>45378</v>
      </c>
      <c r="C254" s="2" t="str">
        <f>TEXT(Table1[[#This Row],[Date]],"MMM")</f>
        <v>Mar</v>
      </c>
      <c r="D254" s="2" t="str">
        <f>"Q"&amp;ROUNDUP(MONTH(Table1[[#This Row],[Date]])/3,0)</f>
        <v>Q1</v>
      </c>
      <c r="E254" s="2">
        <f>YEAR(Table1[[#This Row],[Date]])</f>
        <v>2024</v>
      </c>
      <c r="F254" s="2" t="s">
        <v>92</v>
      </c>
      <c r="G254" s="2" t="s">
        <v>74</v>
      </c>
      <c r="H254" s="2" t="s">
        <v>34</v>
      </c>
      <c r="I254" s="2" t="s">
        <v>89</v>
      </c>
      <c r="J254" s="2">
        <v>2</v>
      </c>
      <c r="K254" s="2">
        <v>4500</v>
      </c>
      <c r="L254" s="2">
        <v>20</v>
      </c>
      <c r="M254" s="2">
        <v>7200</v>
      </c>
      <c r="N254" s="23">
        <f>(Table1[[#This Row],[Profit (PKR)]]/Table1[[#This Row],[Total Revenue (PKR)]])</f>
        <v>0.30555555555555558</v>
      </c>
      <c r="O254" s="2">
        <v>2500</v>
      </c>
      <c r="P254" s="2">
        <v>5000</v>
      </c>
      <c r="Q254" s="2">
        <v>2200</v>
      </c>
      <c r="R254" s="2" t="s">
        <v>22</v>
      </c>
      <c r="S254" s="2" t="str">
        <f>IF(AND(Table1[[#This Row],[Total Revenue (PKR)]]&gt;50000, Table1[[#This Row],[Discount %]]&lt;10),"High Value","Standard")</f>
        <v>Standard</v>
      </c>
      <c r="T254" s="2" t="s">
        <v>43</v>
      </c>
      <c r="U254" s="6" t="s">
        <v>95</v>
      </c>
      <c r="V254" s="19" t="s">
        <v>169</v>
      </c>
    </row>
    <row r="255" spans="1:22" x14ac:dyDescent="0.25">
      <c r="A255" s="5" t="s">
        <v>502</v>
      </c>
      <c r="B255" s="16">
        <f>DATEVALUE(Table1[[#This Row],[Date2]])</f>
        <v>45634</v>
      </c>
      <c r="C255" s="3" t="str">
        <f>TEXT(Table1[[#This Row],[Date]],"MMM")</f>
        <v>Dec</v>
      </c>
      <c r="D255" s="3" t="str">
        <f>"Q"&amp;ROUNDUP(MONTH(Table1[[#This Row],[Date]])/3,0)</f>
        <v>Q4</v>
      </c>
      <c r="E255" s="3">
        <f>YEAR(Table1[[#This Row],[Date]])</f>
        <v>2024</v>
      </c>
      <c r="F255" s="3" t="s">
        <v>104</v>
      </c>
      <c r="G255" s="3" t="s">
        <v>19</v>
      </c>
      <c r="H255" s="3" t="s">
        <v>93</v>
      </c>
      <c r="I255" s="3" t="s">
        <v>188</v>
      </c>
      <c r="J255" s="3">
        <v>8</v>
      </c>
      <c r="K255" s="3">
        <v>1500</v>
      </c>
      <c r="L255" s="3">
        <v>0</v>
      </c>
      <c r="M255" s="3">
        <v>12000</v>
      </c>
      <c r="N255" s="24">
        <f>(Table1[[#This Row],[Profit (PKR)]]/Table1[[#This Row],[Total Revenue (PKR)]])</f>
        <v>0.26666666666666666</v>
      </c>
      <c r="O255" s="3">
        <v>1100</v>
      </c>
      <c r="P255" s="3">
        <v>8800</v>
      </c>
      <c r="Q255" s="3">
        <v>3200</v>
      </c>
      <c r="R255" s="3" t="s">
        <v>22</v>
      </c>
      <c r="S255" s="3" t="str">
        <f>IF(AND(Table1[[#This Row],[Total Revenue (PKR)]]&gt;50000, Table1[[#This Row],[Discount %]]&lt;10),"High Value","Standard")</f>
        <v>Standard</v>
      </c>
      <c r="T255" s="3" t="s">
        <v>43</v>
      </c>
      <c r="U255" s="7" t="s">
        <v>44</v>
      </c>
      <c r="V255" s="20" t="s">
        <v>190</v>
      </c>
    </row>
    <row r="256" spans="1:22" x14ac:dyDescent="0.25">
      <c r="A256" s="4" t="s">
        <v>503</v>
      </c>
      <c r="B256" s="15">
        <f>DATEVALUE(Table1[[#This Row],[Date2]])</f>
        <v>45525</v>
      </c>
      <c r="C256" s="2" t="str">
        <f>TEXT(Table1[[#This Row],[Date]],"MMM")</f>
        <v>Aug</v>
      </c>
      <c r="D256" s="2" t="str">
        <f>"Q"&amp;ROUNDUP(MONTH(Table1[[#This Row],[Date]])/3,0)</f>
        <v>Q3</v>
      </c>
      <c r="E256" s="2">
        <f>YEAR(Table1[[#This Row],[Date]])</f>
        <v>2024</v>
      </c>
      <c r="F256" s="2" t="s">
        <v>100</v>
      </c>
      <c r="G256" s="2" t="s">
        <v>19</v>
      </c>
      <c r="H256" s="2" t="s">
        <v>53</v>
      </c>
      <c r="I256" s="2" t="s">
        <v>101</v>
      </c>
      <c r="J256" s="2">
        <v>16</v>
      </c>
      <c r="K256" s="2">
        <v>1200</v>
      </c>
      <c r="L256" s="2">
        <v>25</v>
      </c>
      <c r="M256" s="2">
        <v>14400</v>
      </c>
      <c r="N256" s="23">
        <f>(Table1[[#This Row],[Profit (PKR)]]/Table1[[#This Row],[Total Revenue (PKR)]])</f>
        <v>0.22222222222222221</v>
      </c>
      <c r="O256" s="2">
        <v>700</v>
      </c>
      <c r="P256" s="2">
        <v>11200</v>
      </c>
      <c r="Q256" s="2">
        <v>3200</v>
      </c>
      <c r="R256" s="2" t="s">
        <v>42</v>
      </c>
      <c r="S256" s="2" t="str">
        <f>IF(AND(Table1[[#This Row],[Total Revenue (PKR)]]&gt;50000, Table1[[#This Row],[Discount %]]&lt;10),"High Value","Standard")</f>
        <v>Standard</v>
      </c>
      <c r="T256" s="2" t="s">
        <v>43</v>
      </c>
      <c r="U256" s="6" t="s">
        <v>44</v>
      </c>
      <c r="V256" s="19" t="s">
        <v>504</v>
      </c>
    </row>
    <row r="257" spans="1:22" x14ac:dyDescent="0.25">
      <c r="A257" s="5" t="s">
        <v>505</v>
      </c>
      <c r="B257" s="16">
        <f>DATEVALUE(Table1[[#This Row],[Date2]])</f>
        <v>45574</v>
      </c>
      <c r="C257" s="3" t="str">
        <f>TEXT(Table1[[#This Row],[Date]],"MMM")</f>
        <v>Oct</v>
      </c>
      <c r="D257" s="3" t="str">
        <f>"Q"&amp;ROUNDUP(MONTH(Table1[[#This Row],[Date]])/3,0)</f>
        <v>Q4</v>
      </c>
      <c r="E257" s="3">
        <f>YEAR(Table1[[#This Row],[Date]])</f>
        <v>2024</v>
      </c>
      <c r="F257" s="3" t="s">
        <v>77</v>
      </c>
      <c r="G257" s="3" t="s">
        <v>19</v>
      </c>
      <c r="H257" s="3" t="s">
        <v>28</v>
      </c>
      <c r="I257" s="3" t="s">
        <v>127</v>
      </c>
      <c r="J257" s="3">
        <v>9</v>
      </c>
      <c r="K257" s="3">
        <v>15000</v>
      </c>
      <c r="L257" s="3">
        <v>20</v>
      </c>
      <c r="M257" s="3">
        <v>108000</v>
      </c>
      <c r="N257" s="24">
        <f>(Table1[[#This Row],[Profit (PKR)]]/Table1[[#This Row],[Total Revenue (PKR)]])</f>
        <v>0.16666666666666666</v>
      </c>
      <c r="O257" s="3">
        <v>10000</v>
      </c>
      <c r="P257" s="3">
        <v>90000</v>
      </c>
      <c r="Q257" s="3">
        <v>18000</v>
      </c>
      <c r="R257" s="3" t="s">
        <v>42</v>
      </c>
      <c r="S257" s="3" t="str">
        <f>IF(AND(Table1[[#This Row],[Total Revenue (PKR)]]&gt;50000, Table1[[#This Row],[Discount %]]&lt;10),"High Value","Standard")</f>
        <v>Standard</v>
      </c>
      <c r="T257" s="3" t="s">
        <v>43</v>
      </c>
      <c r="U257" s="7" t="s">
        <v>44</v>
      </c>
      <c r="V257" s="20" t="s">
        <v>506</v>
      </c>
    </row>
    <row r="258" spans="1:22" x14ac:dyDescent="0.25">
      <c r="A258" s="4" t="s">
        <v>507</v>
      </c>
      <c r="B258" s="15">
        <f>DATEVALUE(Table1[[#This Row],[Date2]])</f>
        <v>45649</v>
      </c>
      <c r="C258" s="2" t="str">
        <f>TEXT(Table1[[#This Row],[Date]],"MMM")</f>
        <v>Dec</v>
      </c>
      <c r="D258" s="2" t="str">
        <f>"Q"&amp;ROUNDUP(MONTH(Table1[[#This Row],[Date]])/3,0)</f>
        <v>Q4</v>
      </c>
      <c r="E258" s="2">
        <f>YEAR(Table1[[#This Row],[Date]])</f>
        <v>2024</v>
      </c>
      <c r="F258" s="2" t="s">
        <v>77</v>
      </c>
      <c r="G258" s="2" t="s">
        <v>40</v>
      </c>
      <c r="H258" s="2" t="s">
        <v>28</v>
      </c>
      <c r="I258" s="2" t="s">
        <v>29</v>
      </c>
      <c r="J258" s="2">
        <v>17</v>
      </c>
      <c r="K258" s="2">
        <v>25000</v>
      </c>
      <c r="L258" s="2">
        <v>5</v>
      </c>
      <c r="M258" s="2">
        <v>403750</v>
      </c>
      <c r="N258" s="23">
        <f>(Table1[[#This Row],[Profit (PKR)]]/Table1[[#This Row],[Total Revenue (PKR)]])</f>
        <v>0.24210526315789474</v>
      </c>
      <c r="O258" s="2">
        <v>18000</v>
      </c>
      <c r="P258" s="2">
        <v>306000</v>
      </c>
      <c r="Q258" s="2">
        <v>97750</v>
      </c>
      <c r="R258" s="2" t="s">
        <v>22</v>
      </c>
      <c r="S258" s="2" t="str">
        <f>IF(AND(Table1[[#This Row],[Total Revenue (PKR)]]&gt;50000, Table1[[#This Row],[Discount %]]&lt;10),"High Value","Standard")</f>
        <v>High Value</v>
      </c>
      <c r="T258" s="2" t="s">
        <v>36</v>
      </c>
      <c r="U258" s="6" t="s">
        <v>24</v>
      </c>
      <c r="V258" s="19" t="s">
        <v>508</v>
      </c>
    </row>
    <row r="259" spans="1:22" x14ac:dyDescent="0.25">
      <c r="A259" s="5" t="s">
        <v>509</v>
      </c>
      <c r="B259" s="16">
        <f>DATEVALUE(Table1[[#This Row],[Date2]])</f>
        <v>45421</v>
      </c>
      <c r="C259" s="3" t="str">
        <f>TEXT(Table1[[#This Row],[Date]],"MMM")</f>
        <v>May</v>
      </c>
      <c r="D259" s="3" t="str">
        <f>"Q"&amp;ROUNDUP(MONTH(Table1[[#This Row],[Date]])/3,0)</f>
        <v>Q2</v>
      </c>
      <c r="E259" s="3">
        <f>YEAR(Table1[[#This Row],[Date]])</f>
        <v>2024</v>
      </c>
      <c r="F259" s="3" t="s">
        <v>100</v>
      </c>
      <c r="G259" s="3" t="s">
        <v>48</v>
      </c>
      <c r="H259" s="3" t="s">
        <v>93</v>
      </c>
      <c r="I259" s="3" t="s">
        <v>119</v>
      </c>
      <c r="J259" s="3">
        <v>12</v>
      </c>
      <c r="K259" s="3">
        <v>800</v>
      </c>
      <c r="L259" s="3">
        <v>15</v>
      </c>
      <c r="M259" s="3">
        <v>8160</v>
      </c>
      <c r="N259" s="24">
        <f>(Table1[[#This Row],[Profit (PKR)]]/Table1[[#This Row],[Total Revenue (PKR)]])</f>
        <v>0.11764705882352941</v>
      </c>
      <c r="O259" s="3">
        <v>600</v>
      </c>
      <c r="P259" s="3">
        <v>7200</v>
      </c>
      <c r="Q259" s="3">
        <v>960</v>
      </c>
      <c r="R259" s="3" t="s">
        <v>42</v>
      </c>
      <c r="S259" s="3" t="str">
        <f>IF(AND(Table1[[#This Row],[Total Revenue (PKR)]]&gt;50000, Table1[[#This Row],[Discount %]]&lt;10),"High Value","Standard")</f>
        <v>Standard</v>
      </c>
      <c r="T259" s="3" t="s">
        <v>30</v>
      </c>
      <c r="U259" s="7" t="s">
        <v>44</v>
      </c>
      <c r="V259" s="20" t="s">
        <v>510</v>
      </c>
    </row>
    <row r="260" spans="1:22" x14ac:dyDescent="0.25">
      <c r="A260" s="4" t="s">
        <v>511</v>
      </c>
      <c r="B260" s="15">
        <f>DATEVALUE(Table1[[#This Row],[Date2]])</f>
        <v>45648</v>
      </c>
      <c r="C260" s="2" t="str">
        <f>TEXT(Table1[[#This Row],[Date]],"MMM")</f>
        <v>Dec</v>
      </c>
      <c r="D260" s="2" t="str">
        <f>"Q"&amp;ROUNDUP(MONTH(Table1[[#This Row],[Date]])/3,0)</f>
        <v>Q4</v>
      </c>
      <c r="E260" s="2">
        <f>YEAR(Table1[[#This Row],[Date]])</f>
        <v>2024</v>
      </c>
      <c r="F260" s="2" t="s">
        <v>33</v>
      </c>
      <c r="G260" s="2" t="s">
        <v>48</v>
      </c>
      <c r="H260" s="2" t="s">
        <v>28</v>
      </c>
      <c r="I260" s="2" t="s">
        <v>29</v>
      </c>
      <c r="J260" s="2">
        <v>3</v>
      </c>
      <c r="K260" s="2">
        <v>25000</v>
      </c>
      <c r="L260" s="2">
        <v>15</v>
      </c>
      <c r="M260" s="2">
        <v>63750</v>
      </c>
      <c r="N260" s="23">
        <f>(Table1[[#This Row],[Profit (PKR)]]/Table1[[#This Row],[Total Revenue (PKR)]])</f>
        <v>0.15294117647058825</v>
      </c>
      <c r="O260" s="2">
        <v>18000</v>
      </c>
      <c r="P260" s="2">
        <v>54000</v>
      </c>
      <c r="Q260" s="2">
        <v>9750</v>
      </c>
      <c r="R260" s="2" t="s">
        <v>42</v>
      </c>
      <c r="S260" s="2" t="str">
        <f>IF(AND(Table1[[#This Row],[Total Revenue (PKR)]]&gt;50000, Table1[[#This Row],[Discount %]]&lt;10),"High Value","Standard")</f>
        <v>Standard</v>
      </c>
      <c r="T260" s="2" t="s">
        <v>66</v>
      </c>
      <c r="U260" s="6" t="s">
        <v>44</v>
      </c>
      <c r="V260" s="19" t="s">
        <v>512</v>
      </c>
    </row>
    <row r="261" spans="1:22" x14ac:dyDescent="0.25">
      <c r="A261" s="5" t="s">
        <v>513</v>
      </c>
      <c r="B261" s="16">
        <f>DATEVALUE(Table1[[#This Row],[Date2]])</f>
        <v>45320</v>
      </c>
      <c r="C261" s="3" t="str">
        <f>TEXT(Table1[[#This Row],[Date]],"MMM")</f>
        <v>Jan</v>
      </c>
      <c r="D261" s="3" t="str">
        <f>"Q"&amp;ROUNDUP(MONTH(Table1[[#This Row],[Date]])/3,0)</f>
        <v>Q1</v>
      </c>
      <c r="E261" s="3">
        <f>YEAR(Table1[[#This Row],[Date]])</f>
        <v>2024</v>
      </c>
      <c r="F261" s="3" t="s">
        <v>104</v>
      </c>
      <c r="G261" s="3" t="s">
        <v>40</v>
      </c>
      <c r="H261" s="3" t="s">
        <v>28</v>
      </c>
      <c r="I261" s="3" t="s">
        <v>49</v>
      </c>
      <c r="J261" s="3">
        <v>14</v>
      </c>
      <c r="K261" s="3">
        <v>5000</v>
      </c>
      <c r="L261" s="3">
        <v>25</v>
      </c>
      <c r="M261" s="3">
        <v>52500</v>
      </c>
      <c r="N261" s="24">
        <f>(Table1[[#This Row],[Profit (PKR)]]/Table1[[#This Row],[Total Revenue (PKR)]])</f>
        <v>0.2</v>
      </c>
      <c r="O261" s="3">
        <v>3000</v>
      </c>
      <c r="P261" s="3">
        <v>42000</v>
      </c>
      <c r="Q261" s="3">
        <v>10500</v>
      </c>
      <c r="R261" s="3" t="s">
        <v>42</v>
      </c>
      <c r="S261" s="3" t="str">
        <f>IF(AND(Table1[[#This Row],[Total Revenue (PKR)]]&gt;50000, Table1[[#This Row],[Discount %]]&lt;10),"High Value","Standard")</f>
        <v>Standard</v>
      </c>
      <c r="T261" s="3" t="s">
        <v>30</v>
      </c>
      <c r="U261" s="7" t="s">
        <v>56</v>
      </c>
      <c r="V261" s="20" t="s">
        <v>412</v>
      </c>
    </row>
    <row r="262" spans="1:22" x14ac:dyDescent="0.25">
      <c r="A262" s="4" t="s">
        <v>514</v>
      </c>
      <c r="B262" s="15">
        <f>DATEVALUE(Table1[[#This Row],[Date2]])</f>
        <v>45340</v>
      </c>
      <c r="C262" s="2" t="str">
        <f>TEXT(Table1[[#This Row],[Date]],"MMM")</f>
        <v>Feb</v>
      </c>
      <c r="D262" s="2" t="str">
        <f>"Q"&amp;ROUNDUP(MONTH(Table1[[#This Row],[Date]])/3,0)</f>
        <v>Q1</v>
      </c>
      <c r="E262" s="2">
        <f>YEAR(Table1[[#This Row],[Date]])</f>
        <v>2024</v>
      </c>
      <c r="F262" s="2" t="s">
        <v>63</v>
      </c>
      <c r="G262" s="2" t="s">
        <v>19</v>
      </c>
      <c r="H262" s="2" t="s">
        <v>34</v>
      </c>
      <c r="I262" s="2" t="s">
        <v>146</v>
      </c>
      <c r="J262" s="2">
        <v>19</v>
      </c>
      <c r="K262" s="2">
        <v>3500</v>
      </c>
      <c r="L262" s="2">
        <v>15</v>
      </c>
      <c r="M262" s="2">
        <v>56525</v>
      </c>
      <c r="N262" s="23">
        <f>(Table1[[#This Row],[Profit (PKR)]]/Table1[[#This Row],[Total Revenue (PKR)]])</f>
        <v>0.3949579831932773</v>
      </c>
      <c r="O262" s="2">
        <v>1800</v>
      </c>
      <c r="P262" s="2">
        <v>34200</v>
      </c>
      <c r="Q262" s="2">
        <v>22325</v>
      </c>
      <c r="R262" s="2" t="s">
        <v>42</v>
      </c>
      <c r="S262" s="2" t="str">
        <f>IF(AND(Table1[[#This Row],[Total Revenue (PKR)]]&gt;50000, Table1[[#This Row],[Discount %]]&lt;10),"High Value","Standard")</f>
        <v>Standard</v>
      </c>
      <c r="T262" s="2" t="s">
        <v>43</v>
      </c>
      <c r="U262" s="6" t="s">
        <v>95</v>
      </c>
      <c r="V262" s="19" t="s">
        <v>315</v>
      </c>
    </row>
    <row r="263" spans="1:22" x14ac:dyDescent="0.25">
      <c r="A263" s="5" t="s">
        <v>515</v>
      </c>
      <c r="B263" s="16">
        <f>DATEVALUE(Table1[[#This Row],[Date2]])</f>
        <v>45642</v>
      </c>
      <c r="C263" s="3" t="str">
        <f>TEXT(Table1[[#This Row],[Date]],"MMM")</f>
        <v>Dec</v>
      </c>
      <c r="D263" s="3" t="str">
        <f>"Q"&amp;ROUNDUP(MONTH(Table1[[#This Row],[Date]])/3,0)</f>
        <v>Q4</v>
      </c>
      <c r="E263" s="3">
        <f>YEAR(Table1[[#This Row],[Date]])</f>
        <v>2024</v>
      </c>
      <c r="F263" s="3" t="s">
        <v>39</v>
      </c>
      <c r="G263" s="3" t="s">
        <v>19</v>
      </c>
      <c r="H263" s="3" t="s">
        <v>34</v>
      </c>
      <c r="I263" s="3" t="s">
        <v>41</v>
      </c>
      <c r="J263" s="3">
        <v>1</v>
      </c>
      <c r="K263" s="3">
        <v>3000</v>
      </c>
      <c r="L263" s="3">
        <v>5</v>
      </c>
      <c r="M263" s="3">
        <v>2850</v>
      </c>
      <c r="N263" s="24">
        <f>(Table1[[#This Row],[Profit (PKR)]]/Table1[[#This Row],[Total Revenue (PKR)]])</f>
        <v>0.47368421052631576</v>
      </c>
      <c r="O263" s="3">
        <v>1500</v>
      </c>
      <c r="P263" s="3">
        <v>1500</v>
      </c>
      <c r="Q263" s="3">
        <v>1350</v>
      </c>
      <c r="R263" s="3" t="s">
        <v>22</v>
      </c>
      <c r="S263" s="3" t="str">
        <f>IF(AND(Table1[[#This Row],[Total Revenue (PKR)]]&gt;50000, Table1[[#This Row],[Discount %]]&lt;10),"High Value","Standard")</f>
        <v>Standard</v>
      </c>
      <c r="T263" s="3" t="s">
        <v>23</v>
      </c>
      <c r="U263" s="7" t="s">
        <v>86</v>
      </c>
      <c r="V263" s="20" t="s">
        <v>516</v>
      </c>
    </row>
    <row r="264" spans="1:22" x14ac:dyDescent="0.25">
      <c r="A264" s="4" t="s">
        <v>517</v>
      </c>
      <c r="B264" s="15">
        <f>DATEVALUE(Table1[[#This Row],[Date2]])</f>
        <v>45331</v>
      </c>
      <c r="C264" s="2" t="str">
        <f>TEXT(Table1[[#This Row],[Date]],"MMM")</f>
        <v>Feb</v>
      </c>
      <c r="D264" s="2" t="str">
        <f>"Q"&amp;ROUNDUP(MONTH(Table1[[#This Row],[Date]])/3,0)</f>
        <v>Q1</v>
      </c>
      <c r="E264" s="2">
        <f>YEAR(Table1[[#This Row],[Date]])</f>
        <v>2024</v>
      </c>
      <c r="F264" s="2" t="s">
        <v>39</v>
      </c>
      <c r="G264" s="2" t="s">
        <v>40</v>
      </c>
      <c r="H264" s="2" t="s">
        <v>53</v>
      </c>
      <c r="I264" s="2" t="s">
        <v>54</v>
      </c>
      <c r="J264" s="2">
        <v>19</v>
      </c>
      <c r="K264" s="2">
        <v>2000</v>
      </c>
      <c r="L264" s="2">
        <v>15</v>
      </c>
      <c r="M264" s="2">
        <v>32300</v>
      </c>
      <c r="N264" s="23">
        <f>(Table1[[#This Row],[Profit (PKR)]]/Table1[[#This Row],[Total Revenue (PKR)]])</f>
        <v>0.29411764705882354</v>
      </c>
      <c r="O264" s="2">
        <v>1200</v>
      </c>
      <c r="P264" s="2">
        <v>22800</v>
      </c>
      <c r="Q264" s="2">
        <v>9500</v>
      </c>
      <c r="R264" s="2" t="s">
        <v>42</v>
      </c>
      <c r="S264" s="2" t="str">
        <f>IF(AND(Table1[[#This Row],[Total Revenue (PKR)]]&gt;50000, Table1[[#This Row],[Discount %]]&lt;10),"High Value","Standard")</f>
        <v>Standard</v>
      </c>
      <c r="T264" s="2" t="s">
        <v>66</v>
      </c>
      <c r="U264" s="6" t="s">
        <v>86</v>
      </c>
      <c r="V264" s="19" t="s">
        <v>518</v>
      </c>
    </row>
    <row r="265" spans="1:22" x14ac:dyDescent="0.25">
      <c r="A265" s="5" t="s">
        <v>519</v>
      </c>
      <c r="B265" s="16">
        <f>DATEVALUE(Table1[[#This Row],[Date2]])</f>
        <v>45363</v>
      </c>
      <c r="C265" s="3" t="str">
        <f>TEXT(Table1[[#This Row],[Date]],"MMM")</f>
        <v>Mar</v>
      </c>
      <c r="D265" s="3" t="str">
        <f>"Q"&amp;ROUNDUP(MONTH(Table1[[#This Row],[Date]])/3,0)</f>
        <v>Q1</v>
      </c>
      <c r="E265" s="3">
        <f>YEAR(Table1[[#This Row],[Date]])</f>
        <v>2024</v>
      </c>
      <c r="F265" s="3" t="s">
        <v>18</v>
      </c>
      <c r="G265" s="3" t="s">
        <v>52</v>
      </c>
      <c r="H265" s="3" t="s">
        <v>28</v>
      </c>
      <c r="I265" s="3" t="s">
        <v>29</v>
      </c>
      <c r="J265" s="3">
        <v>14</v>
      </c>
      <c r="K265" s="3">
        <v>25000</v>
      </c>
      <c r="L265" s="3">
        <v>5</v>
      </c>
      <c r="M265" s="3">
        <v>332500</v>
      </c>
      <c r="N265" s="24">
        <f>(Table1[[#This Row],[Profit (PKR)]]/Table1[[#This Row],[Total Revenue (PKR)]])</f>
        <v>0.24210526315789474</v>
      </c>
      <c r="O265" s="3">
        <v>18000</v>
      </c>
      <c r="P265" s="3">
        <v>252000</v>
      </c>
      <c r="Q265" s="3">
        <v>80500</v>
      </c>
      <c r="R265" s="3" t="s">
        <v>22</v>
      </c>
      <c r="S265" s="3" t="str">
        <f>IF(AND(Table1[[#This Row],[Total Revenue (PKR)]]&gt;50000, Table1[[#This Row],[Discount %]]&lt;10),"High Value","Standard")</f>
        <v>High Value</v>
      </c>
      <c r="T265" s="3" t="s">
        <v>55</v>
      </c>
      <c r="U265" s="7" t="s">
        <v>24</v>
      </c>
      <c r="V265" s="20" t="s">
        <v>113</v>
      </c>
    </row>
    <row r="266" spans="1:22" x14ac:dyDescent="0.25">
      <c r="A266" s="4" t="s">
        <v>520</v>
      </c>
      <c r="B266" s="15">
        <f>DATEVALUE(Table1[[#This Row],[Date2]])</f>
        <v>45606</v>
      </c>
      <c r="C266" s="2" t="str">
        <f>TEXT(Table1[[#This Row],[Date]],"MMM")</f>
        <v>Nov</v>
      </c>
      <c r="D266" s="2" t="str">
        <f>"Q"&amp;ROUNDUP(MONTH(Table1[[#This Row],[Date]])/3,0)</f>
        <v>Q4</v>
      </c>
      <c r="E266" s="2">
        <f>YEAR(Table1[[#This Row],[Date]])</f>
        <v>2024</v>
      </c>
      <c r="F266" s="2" t="s">
        <v>47</v>
      </c>
      <c r="G266" s="2" t="s">
        <v>27</v>
      </c>
      <c r="H266" s="2" t="s">
        <v>20</v>
      </c>
      <c r="I266" s="2" t="s">
        <v>65</v>
      </c>
      <c r="J266" s="2">
        <v>9</v>
      </c>
      <c r="K266" s="2">
        <v>18000</v>
      </c>
      <c r="L266" s="2">
        <v>15</v>
      </c>
      <c r="M266" s="2">
        <v>137700</v>
      </c>
      <c r="N266" s="23">
        <f>(Table1[[#This Row],[Profit (PKR)]]/Table1[[#This Row],[Total Revenue (PKR)]])</f>
        <v>0.21568627450980393</v>
      </c>
      <c r="O266" s="2">
        <v>12000</v>
      </c>
      <c r="P266" s="2">
        <v>108000</v>
      </c>
      <c r="Q266" s="2">
        <v>29700</v>
      </c>
      <c r="R266" s="2" t="s">
        <v>42</v>
      </c>
      <c r="S266" s="2" t="str">
        <f>IF(AND(Table1[[#This Row],[Total Revenue (PKR)]]&gt;50000, Table1[[#This Row],[Discount %]]&lt;10),"High Value","Standard")</f>
        <v>Standard</v>
      </c>
      <c r="T266" s="2" t="s">
        <v>36</v>
      </c>
      <c r="U266" s="6" t="s">
        <v>44</v>
      </c>
      <c r="V266" s="19" t="s">
        <v>308</v>
      </c>
    </row>
    <row r="267" spans="1:22" x14ac:dyDescent="0.25">
      <c r="A267" s="5" t="s">
        <v>521</v>
      </c>
      <c r="B267" s="16">
        <f>DATEVALUE(Table1[[#This Row],[Date2]])</f>
        <v>45484</v>
      </c>
      <c r="C267" s="3" t="str">
        <f>TEXT(Table1[[#This Row],[Date]],"MMM")</f>
        <v>Jul</v>
      </c>
      <c r="D267" s="3" t="str">
        <f>"Q"&amp;ROUNDUP(MONTH(Table1[[#This Row],[Date]])/3,0)</f>
        <v>Q3</v>
      </c>
      <c r="E267" s="3">
        <f>YEAR(Table1[[#This Row],[Date]])</f>
        <v>2024</v>
      </c>
      <c r="F267" s="3" t="s">
        <v>77</v>
      </c>
      <c r="G267" s="3" t="s">
        <v>40</v>
      </c>
      <c r="H267" s="3" t="s">
        <v>53</v>
      </c>
      <c r="I267" s="3" t="s">
        <v>71</v>
      </c>
      <c r="J267" s="3">
        <v>3</v>
      </c>
      <c r="K267" s="3">
        <v>8000</v>
      </c>
      <c r="L267" s="3">
        <v>20</v>
      </c>
      <c r="M267" s="3">
        <v>19200</v>
      </c>
      <c r="N267" s="24">
        <f>(Table1[[#This Row],[Profit (PKR)]]/Table1[[#This Row],[Total Revenue (PKR)]])</f>
        <v>0.21875</v>
      </c>
      <c r="O267" s="3">
        <v>5000</v>
      </c>
      <c r="P267" s="3">
        <v>15000</v>
      </c>
      <c r="Q267" s="3">
        <v>4200</v>
      </c>
      <c r="R267" s="3" t="s">
        <v>42</v>
      </c>
      <c r="S267" s="3" t="str">
        <f>IF(AND(Table1[[#This Row],[Total Revenue (PKR)]]&gt;50000, Table1[[#This Row],[Discount %]]&lt;10),"High Value","Standard")</f>
        <v>Standard</v>
      </c>
      <c r="T267" s="3" t="s">
        <v>36</v>
      </c>
      <c r="U267" s="7" t="s">
        <v>24</v>
      </c>
      <c r="V267" s="20" t="s">
        <v>202</v>
      </c>
    </row>
    <row r="268" spans="1:22" x14ac:dyDescent="0.25">
      <c r="A268" s="4" t="s">
        <v>522</v>
      </c>
      <c r="B268" s="15">
        <f>DATEVALUE(Table1[[#This Row],[Date2]])</f>
        <v>45334</v>
      </c>
      <c r="C268" s="2" t="str">
        <f>TEXT(Table1[[#This Row],[Date]],"MMM")</f>
        <v>Feb</v>
      </c>
      <c r="D268" s="2" t="str">
        <f>"Q"&amp;ROUNDUP(MONTH(Table1[[#This Row],[Date]])/3,0)</f>
        <v>Q1</v>
      </c>
      <c r="E268" s="2">
        <f>YEAR(Table1[[#This Row],[Date]])</f>
        <v>2024</v>
      </c>
      <c r="F268" s="2" t="s">
        <v>39</v>
      </c>
      <c r="G268" s="2" t="s">
        <v>40</v>
      </c>
      <c r="H268" s="2" t="s">
        <v>93</v>
      </c>
      <c r="I268" s="2" t="s">
        <v>188</v>
      </c>
      <c r="J268" s="2">
        <v>13</v>
      </c>
      <c r="K268" s="2">
        <v>1500</v>
      </c>
      <c r="L268" s="2">
        <v>10</v>
      </c>
      <c r="M268" s="2">
        <v>17550</v>
      </c>
      <c r="N268" s="23">
        <f>(Table1[[#This Row],[Profit (PKR)]]/Table1[[#This Row],[Total Revenue (PKR)]])</f>
        <v>0.18518518518518517</v>
      </c>
      <c r="O268" s="2">
        <v>1100</v>
      </c>
      <c r="P268" s="2">
        <v>14300</v>
      </c>
      <c r="Q268" s="2">
        <v>3250</v>
      </c>
      <c r="R268" s="2" t="s">
        <v>42</v>
      </c>
      <c r="S268" s="2" t="str">
        <f>IF(AND(Table1[[#This Row],[Total Revenue (PKR)]]&gt;50000, Table1[[#This Row],[Discount %]]&lt;10),"High Value","Standard")</f>
        <v>Standard</v>
      </c>
      <c r="T268" s="2" t="s">
        <v>43</v>
      </c>
      <c r="U268" s="6" t="s">
        <v>44</v>
      </c>
      <c r="V268" s="19" t="s">
        <v>523</v>
      </c>
    </row>
    <row r="269" spans="1:22" x14ac:dyDescent="0.25">
      <c r="A269" s="5" t="s">
        <v>524</v>
      </c>
      <c r="B269" s="16">
        <f>DATEVALUE(Table1[[#This Row],[Date2]])</f>
        <v>45449</v>
      </c>
      <c r="C269" s="3" t="str">
        <f>TEXT(Table1[[#This Row],[Date]],"MMM")</f>
        <v>Jun</v>
      </c>
      <c r="D269" s="3" t="str">
        <f>"Q"&amp;ROUNDUP(MONTH(Table1[[#This Row],[Date]])/3,0)</f>
        <v>Q2</v>
      </c>
      <c r="E269" s="3">
        <f>YEAR(Table1[[#This Row],[Date]])</f>
        <v>2024</v>
      </c>
      <c r="F269" s="3" t="s">
        <v>122</v>
      </c>
      <c r="G269" s="3" t="s">
        <v>52</v>
      </c>
      <c r="H269" s="3" t="s">
        <v>20</v>
      </c>
      <c r="I269" s="3" t="s">
        <v>65</v>
      </c>
      <c r="J269" s="3">
        <v>5</v>
      </c>
      <c r="K269" s="3">
        <v>18000</v>
      </c>
      <c r="L269" s="3">
        <v>0</v>
      </c>
      <c r="M269" s="3">
        <v>90000</v>
      </c>
      <c r="N269" s="24">
        <f>(Table1[[#This Row],[Profit (PKR)]]/Table1[[#This Row],[Total Revenue (PKR)]])</f>
        <v>0.33333333333333331</v>
      </c>
      <c r="O269" s="3">
        <v>12000</v>
      </c>
      <c r="P269" s="3">
        <v>60000</v>
      </c>
      <c r="Q269" s="3">
        <v>30000</v>
      </c>
      <c r="R269" s="3" t="s">
        <v>22</v>
      </c>
      <c r="S269" s="3" t="str">
        <f>IF(AND(Table1[[#This Row],[Total Revenue (PKR)]]&gt;50000, Table1[[#This Row],[Discount %]]&lt;10),"High Value","Standard")</f>
        <v>High Value</v>
      </c>
      <c r="T269" s="3" t="s">
        <v>66</v>
      </c>
      <c r="U269" s="7" t="s">
        <v>44</v>
      </c>
      <c r="V269" s="20" t="s">
        <v>88</v>
      </c>
    </row>
    <row r="270" spans="1:22" x14ac:dyDescent="0.25">
      <c r="A270" s="4" t="s">
        <v>525</v>
      </c>
      <c r="B270" s="15">
        <f>DATEVALUE(Table1[[#This Row],[Date2]])</f>
        <v>45576</v>
      </c>
      <c r="C270" s="2" t="str">
        <f>TEXT(Table1[[#This Row],[Date]],"MMM")</f>
        <v>Oct</v>
      </c>
      <c r="D270" s="2" t="str">
        <f>"Q"&amp;ROUNDUP(MONTH(Table1[[#This Row],[Date]])/3,0)</f>
        <v>Q4</v>
      </c>
      <c r="E270" s="2">
        <f>YEAR(Table1[[#This Row],[Date]])</f>
        <v>2024</v>
      </c>
      <c r="F270" s="2" t="s">
        <v>63</v>
      </c>
      <c r="G270" s="2" t="s">
        <v>27</v>
      </c>
      <c r="H270" s="2" t="s">
        <v>28</v>
      </c>
      <c r="I270" s="2" t="s">
        <v>29</v>
      </c>
      <c r="J270" s="2">
        <v>3</v>
      </c>
      <c r="K270" s="2">
        <v>25000</v>
      </c>
      <c r="L270" s="2">
        <v>10</v>
      </c>
      <c r="M270" s="2">
        <v>67500</v>
      </c>
      <c r="N270" s="23">
        <f>(Table1[[#This Row],[Profit (PKR)]]/Table1[[#This Row],[Total Revenue (PKR)]])</f>
        <v>0.2</v>
      </c>
      <c r="O270" s="2">
        <v>18000</v>
      </c>
      <c r="P270" s="2">
        <v>54000</v>
      </c>
      <c r="Q270" s="2">
        <v>13500</v>
      </c>
      <c r="R270" s="2" t="s">
        <v>22</v>
      </c>
      <c r="S270" s="2" t="str">
        <f>IF(AND(Table1[[#This Row],[Total Revenue (PKR)]]&gt;50000, Table1[[#This Row],[Discount %]]&lt;10),"High Value","Standard")</f>
        <v>Standard</v>
      </c>
      <c r="T270" s="2" t="s">
        <v>30</v>
      </c>
      <c r="U270" s="6" t="s">
        <v>44</v>
      </c>
      <c r="V270" s="19" t="s">
        <v>121</v>
      </c>
    </row>
    <row r="271" spans="1:22" x14ac:dyDescent="0.25">
      <c r="A271" s="5" t="s">
        <v>526</v>
      </c>
      <c r="B271" s="16">
        <f>DATEVALUE(Table1[[#This Row],[Date2]])</f>
        <v>45458</v>
      </c>
      <c r="C271" s="3" t="str">
        <f>TEXT(Table1[[#This Row],[Date]],"MMM")</f>
        <v>Jun</v>
      </c>
      <c r="D271" s="3" t="str">
        <f>"Q"&amp;ROUNDUP(MONTH(Table1[[#This Row],[Date]])/3,0)</f>
        <v>Q2</v>
      </c>
      <c r="E271" s="3">
        <f>YEAR(Table1[[#This Row],[Date]])</f>
        <v>2024</v>
      </c>
      <c r="F271" s="3" t="s">
        <v>77</v>
      </c>
      <c r="G271" s="3" t="s">
        <v>19</v>
      </c>
      <c r="H271" s="3" t="s">
        <v>20</v>
      </c>
      <c r="I271" s="3" t="s">
        <v>59</v>
      </c>
      <c r="J271" s="3">
        <v>13</v>
      </c>
      <c r="K271" s="3">
        <v>12000</v>
      </c>
      <c r="L271" s="3">
        <v>0</v>
      </c>
      <c r="M271" s="3">
        <v>156000</v>
      </c>
      <c r="N271" s="24">
        <f>(Table1[[#This Row],[Profit (PKR)]]/Table1[[#This Row],[Total Revenue (PKR)]])</f>
        <v>0.33333333333333331</v>
      </c>
      <c r="O271" s="3">
        <v>8000</v>
      </c>
      <c r="P271" s="3">
        <v>104000</v>
      </c>
      <c r="Q271" s="3">
        <v>52000</v>
      </c>
      <c r="R271" s="3" t="s">
        <v>22</v>
      </c>
      <c r="S271" s="3" t="str">
        <f>IF(AND(Table1[[#This Row],[Total Revenue (PKR)]]&gt;50000, Table1[[#This Row],[Discount %]]&lt;10),"High Value","Standard")</f>
        <v>High Value</v>
      </c>
      <c r="T271" s="3" t="s">
        <v>30</v>
      </c>
      <c r="U271" s="7" t="s">
        <v>44</v>
      </c>
      <c r="V271" s="20" t="s">
        <v>211</v>
      </c>
    </row>
    <row r="272" spans="1:22" x14ac:dyDescent="0.25">
      <c r="A272" s="4" t="s">
        <v>527</v>
      </c>
      <c r="B272" s="15">
        <f>DATEVALUE(Table1[[#This Row],[Date2]])</f>
        <v>45642</v>
      </c>
      <c r="C272" s="2" t="str">
        <f>TEXT(Table1[[#This Row],[Date]],"MMM")</f>
        <v>Dec</v>
      </c>
      <c r="D272" s="2" t="str">
        <f>"Q"&amp;ROUNDUP(MONTH(Table1[[#This Row],[Date]])/3,0)</f>
        <v>Q4</v>
      </c>
      <c r="E272" s="2">
        <f>YEAR(Table1[[#This Row],[Date]])</f>
        <v>2024</v>
      </c>
      <c r="F272" s="2" t="s">
        <v>77</v>
      </c>
      <c r="G272" s="2" t="s">
        <v>40</v>
      </c>
      <c r="H272" s="2" t="s">
        <v>34</v>
      </c>
      <c r="I272" s="2" t="s">
        <v>41</v>
      </c>
      <c r="J272" s="2">
        <v>10</v>
      </c>
      <c r="K272" s="2">
        <v>3000</v>
      </c>
      <c r="L272" s="2">
        <v>10</v>
      </c>
      <c r="M272" s="2">
        <v>27000</v>
      </c>
      <c r="N272" s="23">
        <f>(Table1[[#This Row],[Profit (PKR)]]/Table1[[#This Row],[Total Revenue (PKR)]])</f>
        <v>0.44444444444444442</v>
      </c>
      <c r="O272" s="2">
        <v>1500</v>
      </c>
      <c r="P272" s="2">
        <v>15000</v>
      </c>
      <c r="Q272" s="2">
        <v>12000</v>
      </c>
      <c r="R272" s="2" t="s">
        <v>42</v>
      </c>
      <c r="S272" s="2" t="str">
        <f>IF(AND(Table1[[#This Row],[Total Revenue (PKR)]]&gt;50000, Table1[[#This Row],[Discount %]]&lt;10),"High Value","Standard")</f>
        <v>Standard</v>
      </c>
      <c r="T272" s="2" t="s">
        <v>36</v>
      </c>
      <c r="U272" s="6" t="s">
        <v>44</v>
      </c>
      <c r="V272" s="19" t="s">
        <v>516</v>
      </c>
    </row>
    <row r="273" spans="1:22" x14ac:dyDescent="0.25">
      <c r="A273" s="5" t="s">
        <v>528</v>
      </c>
      <c r="B273" s="16">
        <f>DATEVALUE(Table1[[#This Row],[Date2]])</f>
        <v>45514</v>
      </c>
      <c r="C273" s="3" t="str">
        <f>TEXT(Table1[[#This Row],[Date]],"MMM")</f>
        <v>Aug</v>
      </c>
      <c r="D273" s="3" t="str">
        <f>"Q"&amp;ROUNDUP(MONTH(Table1[[#This Row],[Date]])/3,0)</f>
        <v>Q3</v>
      </c>
      <c r="E273" s="3">
        <f>YEAR(Table1[[#This Row],[Date]])</f>
        <v>2024</v>
      </c>
      <c r="F273" s="3" t="s">
        <v>39</v>
      </c>
      <c r="G273" s="3" t="s">
        <v>27</v>
      </c>
      <c r="H273" s="3" t="s">
        <v>20</v>
      </c>
      <c r="I273" s="3" t="s">
        <v>59</v>
      </c>
      <c r="J273" s="3">
        <v>3</v>
      </c>
      <c r="K273" s="3">
        <v>12000</v>
      </c>
      <c r="L273" s="3">
        <v>10</v>
      </c>
      <c r="M273" s="3">
        <v>32400</v>
      </c>
      <c r="N273" s="24">
        <f>(Table1[[#This Row],[Profit (PKR)]]/Table1[[#This Row],[Total Revenue (PKR)]])</f>
        <v>0.25925925925925924</v>
      </c>
      <c r="O273" s="3">
        <v>8000</v>
      </c>
      <c r="P273" s="3">
        <v>24000</v>
      </c>
      <c r="Q273" s="3">
        <v>8400</v>
      </c>
      <c r="R273" s="3" t="s">
        <v>42</v>
      </c>
      <c r="S273" s="3" t="str">
        <f>IF(AND(Table1[[#This Row],[Total Revenue (PKR)]]&gt;50000, Table1[[#This Row],[Discount %]]&lt;10),"High Value","Standard")</f>
        <v>Standard</v>
      </c>
      <c r="T273" s="3" t="s">
        <v>36</v>
      </c>
      <c r="U273" s="7" t="s">
        <v>24</v>
      </c>
      <c r="V273" s="20" t="s">
        <v>529</v>
      </c>
    </row>
    <row r="274" spans="1:22" x14ac:dyDescent="0.25">
      <c r="A274" s="4" t="s">
        <v>530</v>
      </c>
      <c r="B274" s="15">
        <f>DATEVALUE(Table1[[#This Row],[Date2]])</f>
        <v>45545</v>
      </c>
      <c r="C274" s="2" t="str">
        <f>TEXT(Table1[[#This Row],[Date]],"MMM")</f>
        <v>Sep</v>
      </c>
      <c r="D274" s="2" t="str">
        <f>"Q"&amp;ROUNDUP(MONTH(Table1[[#This Row],[Date]])/3,0)</f>
        <v>Q3</v>
      </c>
      <c r="E274" s="2">
        <f>YEAR(Table1[[#This Row],[Date]])</f>
        <v>2024</v>
      </c>
      <c r="F274" s="2" t="s">
        <v>47</v>
      </c>
      <c r="G274" s="2" t="s">
        <v>64</v>
      </c>
      <c r="H274" s="2" t="s">
        <v>93</v>
      </c>
      <c r="I274" s="2" t="s">
        <v>119</v>
      </c>
      <c r="J274" s="2">
        <v>5</v>
      </c>
      <c r="K274" s="2">
        <v>800</v>
      </c>
      <c r="L274" s="2">
        <v>10</v>
      </c>
      <c r="M274" s="2">
        <v>3600</v>
      </c>
      <c r="N274" s="23">
        <f>(Table1[[#This Row],[Profit (PKR)]]/Table1[[#This Row],[Total Revenue (PKR)]])</f>
        <v>0.16666666666666666</v>
      </c>
      <c r="O274" s="2">
        <v>600</v>
      </c>
      <c r="P274" s="2">
        <v>3000</v>
      </c>
      <c r="Q274" s="2">
        <v>600</v>
      </c>
      <c r="R274" s="2" t="s">
        <v>22</v>
      </c>
      <c r="S274" s="2" t="str">
        <f>IF(AND(Table1[[#This Row],[Total Revenue (PKR)]]&gt;50000, Table1[[#This Row],[Discount %]]&lt;10),"High Value","Standard")</f>
        <v>Standard</v>
      </c>
      <c r="T274" s="2" t="s">
        <v>66</v>
      </c>
      <c r="U274" s="6" t="s">
        <v>44</v>
      </c>
      <c r="V274" s="19" t="s">
        <v>531</v>
      </c>
    </row>
    <row r="275" spans="1:22" x14ac:dyDescent="0.25">
      <c r="A275" s="5" t="s">
        <v>532</v>
      </c>
      <c r="B275" s="16">
        <f>DATEVALUE(Table1[[#This Row],[Date2]])</f>
        <v>45609</v>
      </c>
      <c r="C275" s="3" t="str">
        <f>TEXT(Table1[[#This Row],[Date]],"MMM")</f>
        <v>Nov</v>
      </c>
      <c r="D275" s="3" t="str">
        <f>"Q"&amp;ROUNDUP(MONTH(Table1[[#This Row],[Date]])/3,0)</f>
        <v>Q4</v>
      </c>
      <c r="E275" s="3">
        <f>YEAR(Table1[[#This Row],[Date]])</f>
        <v>2024</v>
      </c>
      <c r="F275" s="3" t="s">
        <v>77</v>
      </c>
      <c r="G275" s="3" t="s">
        <v>52</v>
      </c>
      <c r="H275" s="3" t="s">
        <v>93</v>
      </c>
      <c r="I275" s="3" t="s">
        <v>98</v>
      </c>
      <c r="J275" s="3">
        <v>14</v>
      </c>
      <c r="K275" s="3">
        <v>400</v>
      </c>
      <c r="L275" s="3">
        <v>25</v>
      </c>
      <c r="M275" s="3">
        <v>4200</v>
      </c>
      <c r="N275" s="24">
        <f>(Table1[[#This Row],[Profit (PKR)]]/Table1[[#This Row],[Total Revenue (PKR)]])</f>
        <v>6.6666666666666666E-2</v>
      </c>
      <c r="O275" s="3">
        <v>280</v>
      </c>
      <c r="P275" s="3">
        <v>3920</v>
      </c>
      <c r="Q275" s="3">
        <v>280</v>
      </c>
      <c r="R275" s="3" t="s">
        <v>22</v>
      </c>
      <c r="S275" s="3" t="str">
        <f>IF(AND(Table1[[#This Row],[Total Revenue (PKR)]]&gt;50000, Table1[[#This Row],[Discount %]]&lt;10),"High Value","Standard")</f>
        <v>Standard</v>
      </c>
      <c r="T275" s="3" t="s">
        <v>55</v>
      </c>
      <c r="U275" s="7" t="s">
        <v>44</v>
      </c>
      <c r="V275" s="20" t="s">
        <v>533</v>
      </c>
    </row>
    <row r="276" spans="1:22" x14ac:dyDescent="0.25">
      <c r="A276" s="4" t="s">
        <v>534</v>
      </c>
      <c r="B276" s="15">
        <f>DATEVALUE(Table1[[#This Row],[Date2]])</f>
        <v>45647</v>
      </c>
      <c r="C276" s="2" t="str">
        <f>TEXT(Table1[[#This Row],[Date]],"MMM")</f>
        <v>Dec</v>
      </c>
      <c r="D276" s="2" t="str">
        <f>"Q"&amp;ROUNDUP(MONTH(Table1[[#This Row],[Date]])/3,0)</f>
        <v>Q4</v>
      </c>
      <c r="E276" s="2">
        <f>YEAR(Table1[[#This Row],[Date]])</f>
        <v>2024</v>
      </c>
      <c r="F276" s="2" t="s">
        <v>33</v>
      </c>
      <c r="G276" s="2" t="s">
        <v>74</v>
      </c>
      <c r="H276" s="2" t="s">
        <v>20</v>
      </c>
      <c r="I276" s="2" t="s">
        <v>21</v>
      </c>
      <c r="J276" s="2">
        <v>13</v>
      </c>
      <c r="K276" s="2">
        <v>3500</v>
      </c>
      <c r="L276" s="2">
        <v>10</v>
      </c>
      <c r="M276" s="2">
        <v>40950</v>
      </c>
      <c r="N276" s="23">
        <f>(Table1[[#This Row],[Profit (PKR)]]/Table1[[#This Row],[Total Revenue (PKR)]])</f>
        <v>0.36507936507936506</v>
      </c>
      <c r="O276" s="2">
        <v>2000</v>
      </c>
      <c r="P276" s="2">
        <v>26000</v>
      </c>
      <c r="Q276" s="2">
        <v>14950</v>
      </c>
      <c r="R276" s="2" t="s">
        <v>42</v>
      </c>
      <c r="S276" s="2" t="str">
        <f>IF(AND(Table1[[#This Row],[Total Revenue (PKR)]]&gt;50000, Table1[[#This Row],[Discount %]]&lt;10),"High Value","Standard")</f>
        <v>Standard</v>
      </c>
      <c r="T276" s="2" t="s">
        <v>23</v>
      </c>
      <c r="U276" s="6" t="s">
        <v>24</v>
      </c>
      <c r="V276" s="19" t="s">
        <v>184</v>
      </c>
    </row>
    <row r="277" spans="1:22" x14ac:dyDescent="0.25">
      <c r="A277" s="5" t="s">
        <v>535</v>
      </c>
      <c r="B277" s="16">
        <f>DATEVALUE(Table1[[#This Row],[Date2]])</f>
        <v>45543</v>
      </c>
      <c r="C277" s="3" t="str">
        <f>TEXT(Table1[[#This Row],[Date]],"MMM")</f>
        <v>Sep</v>
      </c>
      <c r="D277" s="3" t="str">
        <f>"Q"&amp;ROUNDUP(MONTH(Table1[[#This Row],[Date]])/3,0)</f>
        <v>Q3</v>
      </c>
      <c r="E277" s="3">
        <f>YEAR(Table1[[#This Row],[Date]])</f>
        <v>2024</v>
      </c>
      <c r="F277" s="3" t="s">
        <v>47</v>
      </c>
      <c r="G277" s="3" t="s">
        <v>64</v>
      </c>
      <c r="H277" s="3" t="s">
        <v>20</v>
      </c>
      <c r="I277" s="3" t="s">
        <v>59</v>
      </c>
      <c r="J277" s="3">
        <v>9</v>
      </c>
      <c r="K277" s="3">
        <v>12000</v>
      </c>
      <c r="L277" s="3">
        <v>15</v>
      </c>
      <c r="M277" s="3">
        <v>91800</v>
      </c>
      <c r="N277" s="24">
        <f>(Table1[[#This Row],[Profit (PKR)]]/Table1[[#This Row],[Total Revenue (PKR)]])</f>
        <v>0.21568627450980393</v>
      </c>
      <c r="O277" s="3">
        <v>8000</v>
      </c>
      <c r="P277" s="3">
        <v>72000</v>
      </c>
      <c r="Q277" s="3">
        <v>19800</v>
      </c>
      <c r="R277" s="3" t="s">
        <v>42</v>
      </c>
      <c r="S277" s="3" t="str">
        <f>IF(AND(Table1[[#This Row],[Total Revenue (PKR)]]&gt;50000, Table1[[#This Row],[Discount %]]&lt;10),"High Value","Standard")</f>
        <v>Standard</v>
      </c>
      <c r="T277" s="3" t="s">
        <v>43</v>
      </c>
      <c r="U277" s="7" t="s">
        <v>95</v>
      </c>
      <c r="V277" s="20" t="s">
        <v>245</v>
      </c>
    </row>
    <row r="278" spans="1:22" x14ac:dyDescent="0.25">
      <c r="A278" s="4" t="s">
        <v>536</v>
      </c>
      <c r="B278" s="15">
        <f>DATEVALUE(Table1[[#This Row],[Date2]])</f>
        <v>45394</v>
      </c>
      <c r="C278" s="2" t="str">
        <f>TEXT(Table1[[#This Row],[Date]],"MMM")</f>
        <v>Apr</v>
      </c>
      <c r="D278" s="2" t="str">
        <f>"Q"&amp;ROUNDUP(MONTH(Table1[[#This Row],[Date]])/3,0)</f>
        <v>Q2</v>
      </c>
      <c r="E278" s="2">
        <f>YEAR(Table1[[#This Row],[Date]])</f>
        <v>2024</v>
      </c>
      <c r="F278" s="2" t="s">
        <v>47</v>
      </c>
      <c r="G278" s="2" t="s">
        <v>40</v>
      </c>
      <c r="H278" s="2" t="s">
        <v>53</v>
      </c>
      <c r="I278" s="2" t="s">
        <v>82</v>
      </c>
      <c r="J278" s="2">
        <v>15</v>
      </c>
      <c r="K278" s="2">
        <v>4000</v>
      </c>
      <c r="L278" s="2">
        <v>25</v>
      </c>
      <c r="M278" s="2">
        <v>45000</v>
      </c>
      <c r="N278" s="23">
        <f>(Table1[[#This Row],[Profit (PKR)]]/Table1[[#This Row],[Total Revenue (PKR)]])</f>
        <v>0.16666666666666666</v>
      </c>
      <c r="O278" s="2">
        <v>2500</v>
      </c>
      <c r="P278" s="2">
        <v>37500</v>
      </c>
      <c r="Q278" s="2">
        <v>7500</v>
      </c>
      <c r="R278" s="2" t="s">
        <v>22</v>
      </c>
      <c r="S278" s="2" t="str">
        <f>IF(AND(Table1[[#This Row],[Total Revenue (PKR)]]&gt;50000, Table1[[#This Row],[Discount %]]&lt;10),"High Value","Standard")</f>
        <v>Standard</v>
      </c>
      <c r="T278" s="2" t="s">
        <v>66</v>
      </c>
      <c r="U278" s="6" t="s">
        <v>86</v>
      </c>
      <c r="V278" s="19" t="s">
        <v>537</v>
      </c>
    </row>
    <row r="279" spans="1:22" x14ac:dyDescent="0.25">
      <c r="A279" s="5" t="s">
        <v>538</v>
      </c>
      <c r="B279" s="16">
        <f>DATEVALUE(Table1[[#This Row],[Date2]])</f>
        <v>45646</v>
      </c>
      <c r="C279" s="3" t="str">
        <f>TEXT(Table1[[#This Row],[Date]],"MMM")</f>
        <v>Dec</v>
      </c>
      <c r="D279" s="3" t="str">
        <f>"Q"&amp;ROUNDUP(MONTH(Table1[[#This Row],[Date]])/3,0)</f>
        <v>Q4</v>
      </c>
      <c r="E279" s="3">
        <f>YEAR(Table1[[#This Row],[Date]])</f>
        <v>2024</v>
      </c>
      <c r="F279" s="3" t="s">
        <v>18</v>
      </c>
      <c r="G279" s="3" t="s">
        <v>27</v>
      </c>
      <c r="H279" s="3" t="s">
        <v>93</v>
      </c>
      <c r="I279" s="3" t="s">
        <v>188</v>
      </c>
      <c r="J279" s="3">
        <v>10</v>
      </c>
      <c r="K279" s="3">
        <v>1500</v>
      </c>
      <c r="L279" s="3">
        <v>5</v>
      </c>
      <c r="M279" s="3">
        <v>14250</v>
      </c>
      <c r="N279" s="24">
        <f>(Table1[[#This Row],[Profit (PKR)]]/Table1[[#This Row],[Total Revenue (PKR)]])</f>
        <v>0.22807017543859648</v>
      </c>
      <c r="O279" s="3">
        <v>1100</v>
      </c>
      <c r="P279" s="3">
        <v>11000</v>
      </c>
      <c r="Q279" s="3">
        <v>3250</v>
      </c>
      <c r="R279" s="3" t="s">
        <v>42</v>
      </c>
      <c r="S279" s="3" t="str">
        <f>IF(AND(Table1[[#This Row],[Total Revenue (PKR)]]&gt;50000, Table1[[#This Row],[Discount %]]&lt;10),"High Value","Standard")</f>
        <v>Standard</v>
      </c>
      <c r="T279" s="3" t="s">
        <v>23</v>
      </c>
      <c r="U279" s="7" t="s">
        <v>44</v>
      </c>
      <c r="V279" s="20" t="s">
        <v>364</v>
      </c>
    </row>
    <row r="280" spans="1:22" x14ac:dyDescent="0.25">
      <c r="A280" s="4" t="s">
        <v>539</v>
      </c>
      <c r="B280" s="15">
        <f>DATEVALUE(Table1[[#This Row],[Date2]])</f>
        <v>45508</v>
      </c>
      <c r="C280" s="2" t="str">
        <f>TEXT(Table1[[#This Row],[Date]],"MMM")</f>
        <v>Aug</v>
      </c>
      <c r="D280" s="2" t="str">
        <f>"Q"&amp;ROUNDUP(MONTH(Table1[[#This Row],[Date]])/3,0)</f>
        <v>Q3</v>
      </c>
      <c r="E280" s="2">
        <f>YEAR(Table1[[#This Row],[Date]])</f>
        <v>2024</v>
      </c>
      <c r="F280" s="2" t="s">
        <v>77</v>
      </c>
      <c r="G280" s="2" t="s">
        <v>159</v>
      </c>
      <c r="H280" s="2" t="s">
        <v>93</v>
      </c>
      <c r="I280" s="2" t="s">
        <v>94</v>
      </c>
      <c r="J280" s="2">
        <v>16</v>
      </c>
      <c r="K280" s="2">
        <v>1200</v>
      </c>
      <c r="L280" s="2">
        <v>20</v>
      </c>
      <c r="M280" s="2">
        <v>15360</v>
      </c>
      <c r="N280" s="23">
        <f>(Table1[[#This Row],[Profit (PKR)]]/Table1[[#This Row],[Total Revenue (PKR)]])</f>
        <v>6.25E-2</v>
      </c>
      <c r="O280" s="2">
        <v>900</v>
      </c>
      <c r="P280" s="2">
        <v>14400</v>
      </c>
      <c r="Q280" s="2">
        <v>960</v>
      </c>
      <c r="R280" s="2" t="s">
        <v>42</v>
      </c>
      <c r="S280" s="2" t="str">
        <f>IF(AND(Table1[[#This Row],[Total Revenue (PKR)]]&gt;50000, Table1[[#This Row],[Discount %]]&lt;10),"High Value","Standard")</f>
        <v>Standard</v>
      </c>
      <c r="T280" s="2" t="s">
        <v>30</v>
      </c>
      <c r="U280" s="6" t="s">
        <v>44</v>
      </c>
      <c r="V280" s="19" t="s">
        <v>540</v>
      </c>
    </row>
    <row r="281" spans="1:22" x14ac:dyDescent="0.25">
      <c r="A281" s="5" t="s">
        <v>541</v>
      </c>
      <c r="B281" s="16">
        <f>DATEVALUE(Table1[[#This Row],[Date2]])</f>
        <v>45646</v>
      </c>
      <c r="C281" s="3" t="str">
        <f>TEXT(Table1[[#This Row],[Date]],"MMM")</f>
        <v>Dec</v>
      </c>
      <c r="D281" s="3" t="str">
        <f>"Q"&amp;ROUNDUP(MONTH(Table1[[#This Row],[Date]])/3,0)</f>
        <v>Q4</v>
      </c>
      <c r="E281" s="3">
        <f>YEAR(Table1[[#This Row],[Date]])</f>
        <v>2024</v>
      </c>
      <c r="F281" s="3" t="s">
        <v>77</v>
      </c>
      <c r="G281" s="3" t="s">
        <v>19</v>
      </c>
      <c r="H281" s="3" t="s">
        <v>20</v>
      </c>
      <c r="I281" s="3" t="s">
        <v>137</v>
      </c>
      <c r="J281" s="3">
        <v>20</v>
      </c>
      <c r="K281" s="3">
        <v>15000</v>
      </c>
      <c r="L281" s="3">
        <v>25</v>
      </c>
      <c r="M281" s="3">
        <v>225000</v>
      </c>
      <c r="N281" s="24">
        <f>(Table1[[#This Row],[Profit (PKR)]]/Table1[[#This Row],[Total Revenue (PKR)]])</f>
        <v>0.1111111111111111</v>
      </c>
      <c r="O281" s="3">
        <v>10000</v>
      </c>
      <c r="P281" s="3">
        <v>200000</v>
      </c>
      <c r="Q281" s="3">
        <v>25000</v>
      </c>
      <c r="R281" s="3" t="s">
        <v>22</v>
      </c>
      <c r="S281" s="3" t="str">
        <f>IF(AND(Table1[[#This Row],[Total Revenue (PKR)]]&gt;50000, Table1[[#This Row],[Discount %]]&lt;10),"High Value","Standard")</f>
        <v>Standard</v>
      </c>
      <c r="T281" s="3" t="s">
        <v>43</v>
      </c>
      <c r="U281" s="7" t="s">
        <v>86</v>
      </c>
      <c r="V281" s="20" t="s">
        <v>364</v>
      </c>
    </row>
    <row r="282" spans="1:22" x14ac:dyDescent="0.25">
      <c r="A282" s="4" t="s">
        <v>542</v>
      </c>
      <c r="B282" s="15">
        <f>DATEVALUE(Table1[[#This Row],[Date2]])</f>
        <v>45628</v>
      </c>
      <c r="C282" s="2" t="str">
        <f>TEXT(Table1[[#This Row],[Date]],"MMM")</f>
        <v>Dec</v>
      </c>
      <c r="D282" s="2" t="str">
        <f>"Q"&amp;ROUNDUP(MONTH(Table1[[#This Row],[Date]])/3,0)</f>
        <v>Q4</v>
      </c>
      <c r="E282" s="2">
        <f>YEAR(Table1[[#This Row],[Date]])</f>
        <v>2024</v>
      </c>
      <c r="F282" s="2" t="s">
        <v>100</v>
      </c>
      <c r="G282" s="2" t="s">
        <v>40</v>
      </c>
      <c r="H282" s="2" t="s">
        <v>53</v>
      </c>
      <c r="I282" s="2" t="s">
        <v>82</v>
      </c>
      <c r="J282" s="2">
        <v>19</v>
      </c>
      <c r="K282" s="2">
        <v>4000</v>
      </c>
      <c r="L282" s="2">
        <v>25</v>
      </c>
      <c r="M282" s="2">
        <v>57000</v>
      </c>
      <c r="N282" s="23">
        <f>(Table1[[#This Row],[Profit (PKR)]]/Table1[[#This Row],[Total Revenue (PKR)]])</f>
        <v>0.16666666666666666</v>
      </c>
      <c r="O282" s="2">
        <v>2500</v>
      </c>
      <c r="P282" s="2">
        <v>47500</v>
      </c>
      <c r="Q282" s="2">
        <v>9500</v>
      </c>
      <c r="R282" s="2" t="s">
        <v>42</v>
      </c>
      <c r="S282" s="2" t="str">
        <f>IF(AND(Table1[[#This Row],[Total Revenue (PKR)]]&gt;50000, Table1[[#This Row],[Discount %]]&lt;10),"High Value","Standard")</f>
        <v>Standard</v>
      </c>
      <c r="T282" s="2" t="s">
        <v>55</v>
      </c>
      <c r="U282" s="6" t="s">
        <v>95</v>
      </c>
      <c r="V282" s="19" t="s">
        <v>129</v>
      </c>
    </row>
    <row r="283" spans="1:22" x14ac:dyDescent="0.25">
      <c r="A283" s="5" t="s">
        <v>543</v>
      </c>
      <c r="B283" s="16">
        <f>DATEVALUE(Table1[[#This Row],[Date2]])</f>
        <v>45512</v>
      </c>
      <c r="C283" s="3" t="str">
        <f>TEXT(Table1[[#This Row],[Date]],"MMM")</f>
        <v>Aug</v>
      </c>
      <c r="D283" s="3" t="str">
        <f>"Q"&amp;ROUNDUP(MONTH(Table1[[#This Row],[Date]])/3,0)</f>
        <v>Q3</v>
      </c>
      <c r="E283" s="3">
        <f>YEAR(Table1[[#This Row],[Date]])</f>
        <v>2024</v>
      </c>
      <c r="F283" s="3" t="s">
        <v>18</v>
      </c>
      <c r="G283" s="3" t="s">
        <v>19</v>
      </c>
      <c r="H283" s="3" t="s">
        <v>28</v>
      </c>
      <c r="I283" s="3" t="s">
        <v>274</v>
      </c>
      <c r="J283" s="3">
        <v>8</v>
      </c>
      <c r="K283" s="3">
        <v>35000</v>
      </c>
      <c r="L283" s="3">
        <v>20</v>
      </c>
      <c r="M283" s="3">
        <v>224000</v>
      </c>
      <c r="N283" s="24">
        <f>(Table1[[#This Row],[Profit (PKR)]]/Table1[[#This Row],[Total Revenue (PKR)]])</f>
        <v>7.1428571428571425E-2</v>
      </c>
      <c r="O283" s="3">
        <v>26000</v>
      </c>
      <c r="P283" s="3">
        <v>208000</v>
      </c>
      <c r="Q283" s="3">
        <v>16000</v>
      </c>
      <c r="R283" s="3" t="s">
        <v>22</v>
      </c>
      <c r="S283" s="3" t="str">
        <f>IF(AND(Table1[[#This Row],[Total Revenue (PKR)]]&gt;50000, Table1[[#This Row],[Discount %]]&lt;10),"High Value","Standard")</f>
        <v>Standard</v>
      </c>
      <c r="T283" s="3" t="s">
        <v>66</v>
      </c>
      <c r="U283" s="7" t="s">
        <v>44</v>
      </c>
      <c r="V283" s="20" t="s">
        <v>167</v>
      </c>
    </row>
    <row r="284" spans="1:22" x14ac:dyDescent="0.25">
      <c r="A284" s="4" t="s">
        <v>544</v>
      </c>
      <c r="B284" s="15">
        <f>DATEVALUE(Table1[[#This Row],[Date2]])</f>
        <v>45529</v>
      </c>
      <c r="C284" s="2" t="str">
        <f>TEXT(Table1[[#This Row],[Date]],"MMM")</f>
        <v>Aug</v>
      </c>
      <c r="D284" s="2" t="str">
        <f>"Q"&amp;ROUNDUP(MONTH(Table1[[#This Row],[Date]])/3,0)</f>
        <v>Q3</v>
      </c>
      <c r="E284" s="2">
        <f>YEAR(Table1[[#This Row],[Date]])</f>
        <v>2024</v>
      </c>
      <c r="F284" s="2" t="s">
        <v>47</v>
      </c>
      <c r="G284" s="2" t="s">
        <v>40</v>
      </c>
      <c r="H284" s="2" t="s">
        <v>20</v>
      </c>
      <c r="I284" s="2" t="s">
        <v>65</v>
      </c>
      <c r="J284" s="2">
        <v>16</v>
      </c>
      <c r="K284" s="2">
        <v>18000</v>
      </c>
      <c r="L284" s="2">
        <v>0</v>
      </c>
      <c r="M284" s="2">
        <v>288000</v>
      </c>
      <c r="N284" s="23">
        <f>(Table1[[#This Row],[Profit (PKR)]]/Table1[[#This Row],[Total Revenue (PKR)]])</f>
        <v>0.33333333333333331</v>
      </c>
      <c r="O284" s="2">
        <v>12000</v>
      </c>
      <c r="P284" s="2">
        <v>192000</v>
      </c>
      <c r="Q284" s="2">
        <v>96000</v>
      </c>
      <c r="R284" s="2" t="s">
        <v>42</v>
      </c>
      <c r="S284" s="2" t="str">
        <f>IF(AND(Table1[[#This Row],[Total Revenue (PKR)]]&gt;50000, Table1[[#This Row],[Discount %]]&lt;10),"High Value","Standard")</f>
        <v>High Value</v>
      </c>
      <c r="T284" s="2" t="s">
        <v>66</v>
      </c>
      <c r="U284" s="6" t="s">
        <v>95</v>
      </c>
      <c r="V284" s="19" t="s">
        <v>177</v>
      </c>
    </row>
    <row r="285" spans="1:22" x14ac:dyDescent="0.25">
      <c r="A285" s="5" t="s">
        <v>545</v>
      </c>
      <c r="B285" s="16">
        <f>DATEVALUE(Table1[[#This Row],[Date2]])</f>
        <v>45335</v>
      </c>
      <c r="C285" s="3" t="str">
        <f>TEXT(Table1[[#This Row],[Date]],"MMM")</f>
        <v>Feb</v>
      </c>
      <c r="D285" s="3" t="str">
        <f>"Q"&amp;ROUNDUP(MONTH(Table1[[#This Row],[Date]])/3,0)</f>
        <v>Q1</v>
      </c>
      <c r="E285" s="3">
        <f>YEAR(Table1[[#This Row],[Date]])</f>
        <v>2024</v>
      </c>
      <c r="F285" s="3" t="s">
        <v>18</v>
      </c>
      <c r="G285" s="3" t="s">
        <v>40</v>
      </c>
      <c r="H285" s="3" t="s">
        <v>20</v>
      </c>
      <c r="I285" s="3" t="s">
        <v>182</v>
      </c>
      <c r="J285" s="3">
        <v>11</v>
      </c>
      <c r="K285" s="3">
        <v>5000</v>
      </c>
      <c r="L285" s="3">
        <v>15</v>
      </c>
      <c r="M285" s="3">
        <v>46750</v>
      </c>
      <c r="N285" s="24">
        <f>(Table1[[#This Row],[Profit (PKR)]]/Table1[[#This Row],[Total Revenue (PKR)]])</f>
        <v>0.29411764705882354</v>
      </c>
      <c r="O285" s="3">
        <v>3000</v>
      </c>
      <c r="P285" s="3">
        <v>33000</v>
      </c>
      <c r="Q285" s="3">
        <v>13750</v>
      </c>
      <c r="R285" s="3" t="s">
        <v>22</v>
      </c>
      <c r="S285" s="3" t="str">
        <f>IF(AND(Table1[[#This Row],[Total Revenue (PKR)]]&gt;50000, Table1[[#This Row],[Discount %]]&lt;10),"High Value","Standard")</f>
        <v>Standard</v>
      </c>
      <c r="T285" s="3" t="s">
        <v>30</v>
      </c>
      <c r="U285" s="7" t="s">
        <v>44</v>
      </c>
      <c r="V285" s="20" t="s">
        <v>317</v>
      </c>
    </row>
    <row r="286" spans="1:22" x14ac:dyDescent="0.25">
      <c r="A286" s="4" t="s">
        <v>546</v>
      </c>
      <c r="B286" s="15">
        <f>DATEVALUE(Table1[[#This Row],[Date2]])</f>
        <v>45535</v>
      </c>
      <c r="C286" s="2" t="str">
        <f>TEXT(Table1[[#This Row],[Date]],"MMM")</f>
        <v>Aug</v>
      </c>
      <c r="D286" s="2" t="str">
        <f>"Q"&amp;ROUNDUP(MONTH(Table1[[#This Row],[Date]])/3,0)</f>
        <v>Q3</v>
      </c>
      <c r="E286" s="2">
        <f>YEAR(Table1[[#This Row],[Date]])</f>
        <v>2024</v>
      </c>
      <c r="F286" s="2" t="s">
        <v>18</v>
      </c>
      <c r="G286" s="2" t="s">
        <v>74</v>
      </c>
      <c r="H286" s="2" t="s">
        <v>93</v>
      </c>
      <c r="I286" s="2" t="s">
        <v>98</v>
      </c>
      <c r="J286" s="2">
        <v>3</v>
      </c>
      <c r="K286" s="2">
        <v>400</v>
      </c>
      <c r="L286" s="2">
        <v>10</v>
      </c>
      <c r="M286" s="2">
        <v>1080</v>
      </c>
      <c r="N286" s="23">
        <f>(Table1[[#This Row],[Profit (PKR)]]/Table1[[#This Row],[Total Revenue (PKR)]])</f>
        <v>0.22222222222222221</v>
      </c>
      <c r="O286" s="2">
        <v>280</v>
      </c>
      <c r="P286" s="2">
        <v>840</v>
      </c>
      <c r="Q286" s="2">
        <v>240</v>
      </c>
      <c r="R286" s="2" t="s">
        <v>22</v>
      </c>
      <c r="S286" s="2" t="str">
        <f>IF(AND(Table1[[#This Row],[Total Revenue (PKR)]]&gt;50000, Table1[[#This Row],[Discount %]]&lt;10),"High Value","Standard")</f>
        <v>Standard</v>
      </c>
      <c r="T286" s="2" t="s">
        <v>23</v>
      </c>
      <c r="U286" s="6" t="s">
        <v>44</v>
      </c>
      <c r="V286" s="19" t="s">
        <v>179</v>
      </c>
    </row>
    <row r="287" spans="1:22" x14ac:dyDescent="0.25">
      <c r="A287" s="5" t="s">
        <v>547</v>
      </c>
      <c r="B287" s="16">
        <f>DATEVALUE(Table1[[#This Row],[Date2]])</f>
        <v>45467</v>
      </c>
      <c r="C287" s="3" t="str">
        <f>TEXT(Table1[[#This Row],[Date]],"MMM")</f>
        <v>Jun</v>
      </c>
      <c r="D287" s="3" t="str">
        <f>"Q"&amp;ROUNDUP(MONTH(Table1[[#This Row],[Date]])/3,0)</f>
        <v>Q2</v>
      </c>
      <c r="E287" s="3">
        <f>YEAR(Table1[[#This Row],[Date]])</f>
        <v>2024</v>
      </c>
      <c r="F287" s="3" t="s">
        <v>18</v>
      </c>
      <c r="G287" s="3" t="s">
        <v>40</v>
      </c>
      <c r="H287" s="3" t="s">
        <v>34</v>
      </c>
      <c r="I287" s="3" t="s">
        <v>89</v>
      </c>
      <c r="J287" s="3">
        <v>6</v>
      </c>
      <c r="K287" s="3">
        <v>4500</v>
      </c>
      <c r="L287" s="3">
        <v>20</v>
      </c>
      <c r="M287" s="3">
        <v>21600</v>
      </c>
      <c r="N287" s="24">
        <f>(Table1[[#This Row],[Profit (PKR)]]/Table1[[#This Row],[Total Revenue (PKR)]])</f>
        <v>0.30555555555555558</v>
      </c>
      <c r="O287" s="3">
        <v>2500</v>
      </c>
      <c r="P287" s="3">
        <v>15000</v>
      </c>
      <c r="Q287" s="3">
        <v>6600</v>
      </c>
      <c r="R287" s="3" t="s">
        <v>22</v>
      </c>
      <c r="S287" s="3" t="str">
        <f>IF(AND(Table1[[#This Row],[Total Revenue (PKR)]]&gt;50000, Table1[[#This Row],[Discount %]]&lt;10),"High Value","Standard")</f>
        <v>Standard</v>
      </c>
      <c r="T287" s="3" t="s">
        <v>55</v>
      </c>
      <c r="U287" s="7" t="s">
        <v>44</v>
      </c>
      <c r="V287" s="20" t="s">
        <v>351</v>
      </c>
    </row>
    <row r="288" spans="1:22" x14ac:dyDescent="0.25">
      <c r="A288" s="4" t="s">
        <v>548</v>
      </c>
      <c r="B288" s="15">
        <f>DATEVALUE(Table1[[#This Row],[Date2]])</f>
        <v>45528</v>
      </c>
      <c r="C288" s="2" t="str">
        <f>TEXT(Table1[[#This Row],[Date]],"MMM")</f>
        <v>Aug</v>
      </c>
      <c r="D288" s="2" t="str">
        <f>"Q"&amp;ROUNDUP(MONTH(Table1[[#This Row],[Date]])/3,0)</f>
        <v>Q3</v>
      </c>
      <c r="E288" s="2">
        <f>YEAR(Table1[[#This Row],[Date]])</f>
        <v>2024</v>
      </c>
      <c r="F288" s="2" t="s">
        <v>33</v>
      </c>
      <c r="G288" s="2" t="s">
        <v>27</v>
      </c>
      <c r="H288" s="2" t="s">
        <v>34</v>
      </c>
      <c r="I288" s="2" t="s">
        <v>146</v>
      </c>
      <c r="J288" s="2">
        <v>14</v>
      </c>
      <c r="K288" s="2">
        <v>3500</v>
      </c>
      <c r="L288" s="2">
        <v>15</v>
      </c>
      <c r="M288" s="2">
        <v>41650</v>
      </c>
      <c r="N288" s="23">
        <f>(Table1[[#This Row],[Profit (PKR)]]/Table1[[#This Row],[Total Revenue (PKR)]])</f>
        <v>0.3949579831932773</v>
      </c>
      <c r="O288" s="2">
        <v>1800</v>
      </c>
      <c r="P288" s="2">
        <v>25200</v>
      </c>
      <c r="Q288" s="2">
        <v>16450</v>
      </c>
      <c r="R288" s="2" t="s">
        <v>22</v>
      </c>
      <c r="S288" s="2" t="str">
        <f>IF(AND(Table1[[#This Row],[Total Revenue (PKR)]]&gt;50000, Table1[[#This Row],[Discount %]]&lt;10),"High Value","Standard")</f>
        <v>Standard</v>
      </c>
      <c r="T288" s="2" t="s">
        <v>23</v>
      </c>
      <c r="U288" s="6" t="s">
        <v>24</v>
      </c>
      <c r="V288" s="19" t="s">
        <v>549</v>
      </c>
    </row>
    <row r="289" spans="1:22" x14ac:dyDescent="0.25">
      <c r="A289" s="5" t="s">
        <v>550</v>
      </c>
      <c r="B289" s="16">
        <f>DATEVALUE(Table1[[#This Row],[Date2]])</f>
        <v>45393</v>
      </c>
      <c r="C289" s="3" t="str">
        <f>TEXT(Table1[[#This Row],[Date]],"MMM")</f>
        <v>Apr</v>
      </c>
      <c r="D289" s="3" t="str">
        <f>"Q"&amp;ROUNDUP(MONTH(Table1[[#This Row],[Date]])/3,0)</f>
        <v>Q2</v>
      </c>
      <c r="E289" s="3">
        <f>YEAR(Table1[[#This Row],[Date]])</f>
        <v>2024</v>
      </c>
      <c r="F289" s="3" t="s">
        <v>122</v>
      </c>
      <c r="G289" s="3" t="s">
        <v>27</v>
      </c>
      <c r="H289" s="3" t="s">
        <v>93</v>
      </c>
      <c r="I289" s="3" t="s">
        <v>119</v>
      </c>
      <c r="J289" s="3">
        <v>7</v>
      </c>
      <c r="K289" s="3">
        <v>800</v>
      </c>
      <c r="L289" s="3">
        <v>5</v>
      </c>
      <c r="M289" s="3">
        <v>5320</v>
      </c>
      <c r="N289" s="24">
        <f>(Table1[[#This Row],[Profit (PKR)]]/Table1[[#This Row],[Total Revenue (PKR)]])</f>
        <v>0.21052631578947367</v>
      </c>
      <c r="O289" s="3">
        <v>600</v>
      </c>
      <c r="P289" s="3">
        <v>4200</v>
      </c>
      <c r="Q289" s="3">
        <v>1120</v>
      </c>
      <c r="R289" s="3" t="s">
        <v>42</v>
      </c>
      <c r="S289" s="3" t="str">
        <f>IF(AND(Table1[[#This Row],[Total Revenue (PKR)]]&gt;50000, Table1[[#This Row],[Discount %]]&lt;10),"High Value","Standard")</f>
        <v>Standard</v>
      </c>
      <c r="T289" s="3" t="s">
        <v>23</v>
      </c>
      <c r="U289" s="7" t="s">
        <v>86</v>
      </c>
      <c r="V289" s="20" t="s">
        <v>171</v>
      </c>
    </row>
    <row r="290" spans="1:22" x14ac:dyDescent="0.25">
      <c r="A290" s="4" t="s">
        <v>551</v>
      </c>
      <c r="B290" s="15">
        <f>DATEVALUE(Table1[[#This Row],[Date2]])</f>
        <v>45324</v>
      </c>
      <c r="C290" s="2" t="str">
        <f>TEXT(Table1[[#This Row],[Date]],"MMM")</f>
        <v>Feb</v>
      </c>
      <c r="D290" s="2" t="str">
        <f>"Q"&amp;ROUNDUP(MONTH(Table1[[#This Row],[Date]])/3,0)</f>
        <v>Q1</v>
      </c>
      <c r="E290" s="2">
        <f>YEAR(Table1[[#This Row],[Date]])</f>
        <v>2024</v>
      </c>
      <c r="F290" s="2" t="s">
        <v>47</v>
      </c>
      <c r="G290" s="2" t="s">
        <v>159</v>
      </c>
      <c r="H290" s="2" t="s">
        <v>53</v>
      </c>
      <c r="I290" s="2" t="s">
        <v>54</v>
      </c>
      <c r="J290" s="2">
        <v>12</v>
      </c>
      <c r="K290" s="2">
        <v>2000</v>
      </c>
      <c r="L290" s="2">
        <v>10</v>
      </c>
      <c r="M290" s="2">
        <v>21600</v>
      </c>
      <c r="N290" s="23">
        <f>(Table1[[#This Row],[Profit (PKR)]]/Table1[[#This Row],[Total Revenue (PKR)]])</f>
        <v>0.33333333333333331</v>
      </c>
      <c r="O290" s="2">
        <v>1200</v>
      </c>
      <c r="P290" s="2">
        <v>14400</v>
      </c>
      <c r="Q290" s="2">
        <v>7200</v>
      </c>
      <c r="R290" s="2" t="s">
        <v>22</v>
      </c>
      <c r="S290" s="2" t="str">
        <f>IF(AND(Table1[[#This Row],[Total Revenue (PKR)]]&gt;50000, Table1[[#This Row],[Discount %]]&lt;10),"High Value","Standard")</f>
        <v>Standard</v>
      </c>
      <c r="T290" s="2" t="s">
        <v>66</v>
      </c>
      <c r="U290" s="6" t="s">
        <v>44</v>
      </c>
      <c r="V290" s="19" t="s">
        <v>76</v>
      </c>
    </row>
    <row r="291" spans="1:22" x14ac:dyDescent="0.25">
      <c r="A291" s="5" t="s">
        <v>552</v>
      </c>
      <c r="B291" s="16">
        <f>DATEVALUE(Table1[[#This Row],[Date2]])</f>
        <v>45635</v>
      </c>
      <c r="C291" s="3" t="str">
        <f>TEXT(Table1[[#This Row],[Date]],"MMM")</f>
        <v>Dec</v>
      </c>
      <c r="D291" s="3" t="str">
        <f>"Q"&amp;ROUNDUP(MONTH(Table1[[#This Row],[Date]])/3,0)</f>
        <v>Q4</v>
      </c>
      <c r="E291" s="3">
        <f>YEAR(Table1[[#This Row],[Date]])</f>
        <v>2024</v>
      </c>
      <c r="F291" s="3" t="s">
        <v>122</v>
      </c>
      <c r="G291" s="3" t="s">
        <v>52</v>
      </c>
      <c r="H291" s="3" t="s">
        <v>53</v>
      </c>
      <c r="I291" s="3" t="s">
        <v>71</v>
      </c>
      <c r="J291" s="3">
        <v>20</v>
      </c>
      <c r="K291" s="3">
        <v>8000</v>
      </c>
      <c r="L291" s="3">
        <v>15</v>
      </c>
      <c r="M291" s="3">
        <v>136000</v>
      </c>
      <c r="N291" s="24">
        <f>(Table1[[#This Row],[Profit (PKR)]]/Table1[[#This Row],[Total Revenue (PKR)]])</f>
        <v>0.26470588235294118</v>
      </c>
      <c r="O291" s="3">
        <v>5000</v>
      </c>
      <c r="P291" s="3">
        <v>100000</v>
      </c>
      <c r="Q291" s="3">
        <v>36000</v>
      </c>
      <c r="R291" s="3" t="s">
        <v>22</v>
      </c>
      <c r="S291" s="3" t="str">
        <f>IF(AND(Table1[[#This Row],[Total Revenue (PKR)]]&gt;50000, Table1[[#This Row],[Discount %]]&lt;10),"High Value","Standard")</f>
        <v>Standard</v>
      </c>
      <c r="T291" s="3" t="s">
        <v>55</v>
      </c>
      <c r="U291" s="7" t="s">
        <v>44</v>
      </c>
      <c r="V291" s="20" t="s">
        <v>296</v>
      </c>
    </row>
    <row r="292" spans="1:22" x14ac:dyDescent="0.25">
      <c r="A292" s="4" t="s">
        <v>553</v>
      </c>
      <c r="B292" s="15">
        <f>DATEVALUE(Table1[[#This Row],[Date2]])</f>
        <v>45526</v>
      </c>
      <c r="C292" s="2" t="str">
        <f>TEXT(Table1[[#This Row],[Date]],"MMM")</f>
        <v>Aug</v>
      </c>
      <c r="D292" s="2" t="str">
        <f>"Q"&amp;ROUNDUP(MONTH(Table1[[#This Row],[Date]])/3,0)</f>
        <v>Q3</v>
      </c>
      <c r="E292" s="2">
        <f>YEAR(Table1[[#This Row],[Date]])</f>
        <v>2024</v>
      </c>
      <c r="F292" s="2" t="s">
        <v>47</v>
      </c>
      <c r="G292" s="2" t="s">
        <v>40</v>
      </c>
      <c r="H292" s="2" t="s">
        <v>20</v>
      </c>
      <c r="I292" s="2" t="s">
        <v>137</v>
      </c>
      <c r="J292" s="2">
        <v>19</v>
      </c>
      <c r="K292" s="2">
        <v>15000</v>
      </c>
      <c r="L292" s="2">
        <v>0</v>
      </c>
      <c r="M292" s="2">
        <v>285000</v>
      </c>
      <c r="N292" s="23">
        <f>(Table1[[#This Row],[Profit (PKR)]]/Table1[[#This Row],[Total Revenue (PKR)]])</f>
        <v>0.33333333333333331</v>
      </c>
      <c r="O292" s="2">
        <v>10000</v>
      </c>
      <c r="P292" s="2">
        <v>190000</v>
      </c>
      <c r="Q292" s="2">
        <v>95000</v>
      </c>
      <c r="R292" s="2" t="s">
        <v>22</v>
      </c>
      <c r="S292" s="2" t="str">
        <f>IF(AND(Table1[[#This Row],[Total Revenue (PKR)]]&gt;50000, Table1[[#This Row],[Discount %]]&lt;10),"High Value","Standard")</f>
        <v>High Value</v>
      </c>
      <c r="T292" s="2" t="s">
        <v>55</v>
      </c>
      <c r="U292" s="6" t="s">
        <v>44</v>
      </c>
      <c r="V292" s="19" t="s">
        <v>386</v>
      </c>
    </row>
    <row r="293" spans="1:22" x14ac:dyDescent="0.25">
      <c r="A293" s="5" t="s">
        <v>554</v>
      </c>
      <c r="B293" s="16">
        <f>DATEVALUE(Table1[[#This Row],[Date2]])</f>
        <v>45448</v>
      </c>
      <c r="C293" s="3" t="str">
        <f>TEXT(Table1[[#This Row],[Date]],"MMM")</f>
        <v>Jun</v>
      </c>
      <c r="D293" s="3" t="str">
        <f>"Q"&amp;ROUNDUP(MONTH(Table1[[#This Row],[Date]])/3,0)</f>
        <v>Q2</v>
      </c>
      <c r="E293" s="3">
        <f>YEAR(Table1[[#This Row],[Date]])</f>
        <v>2024</v>
      </c>
      <c r="F293" s="3" t="s">
        <v>18</v>
      </c>
      <c r="G293" s="3" t="s">
        <v>40</v>
      </c>
      <c r="H293" s="3" t="s">
        <v>20</v>
      </c>
      <c r="I293" s="3" t="s">
        <v>21</v>
      </c>
      <c r="J293" s="3">
        <v>17</v>
      </c>
      <c r="K293" s="3">
        <v>3500</v>
      </c>
      <c r="L293" s="3">
        <v>15</v>
      </c>
      <c r="M293" s="3">
        <v>50575</v>
      </c>
      <c r="N293" s="24">
        <f>(Table1[[#This Row],[Profit (PKR)]]/Table1[[#This Row],[Total Revenue (PKR)]])</f>
        <v>0.32773109243697479</v>
      </c>
      <c r="O293" s="3">
        <v>2000</v>
      </c>
      <c r="P293" s="3">
        <v>34000</v>
      </c>
      <c r="Q293" s="3">
        <v>16575</v>
      </c>
      <c r="R293" s="3" t="s">
        <v>42</v>
      </c>
      <c r="S293" s="3" t="str">
        <f>IF(AND(Table1[[#This Row],[Total Revenue (PKR)]]&gt;50000, Table1[[#This Row],[Discount %]]&lt;10),"High Value","Standard")</f>
        <v>Standard</v>
      </c>
      <c r="T293" s="3" t="s">
        <v>30</v>
      </c>
      <c r="U293" s="7" t="s">
        <v>44</v>
      </c>
      <c r="V293" s="20" t="s">
        <v>217</v>
      </c>
    </row>
    <row r="294" spans="1:22" x14ac:dyDescent="0.25">
      <c r="A294" s="4" t="s">
        <v>555</v>
      </c>
      <c r="B294" s="15">
        <f>DATEVALUE(Table1[[#This Row],[Date2]])</f>
        <v>45488</v>
      </c>
      <c r="C294" s="2" t="str">
        <f>TEXT(Table1[[#This Row],[Date]],"MMM")</f>
        <v>Jul</v>
      </c>
      <c r="D294" s="2" t="str">
        <f>"Q"&amp;ROUNDUP(MONTH(Table1[[#This Row],[Date]])/3,0)</f>
        <v>Q3</v>
      </c>
      <c r="E294" s="2">
        <f>YEAR(Table1[[#This Row],[Date]])</f>
        <v>2024</v>
      </c>
      <c r="F294" s="2" t="s">
        <v>77</v>
      </c>
      <c r="G294" s="2" t="s">
        <v>40</v>
      </c>
      <c r="H294" s="2" t="s">
        <v>93</v>
      </c>
      <c r="I294" s="2" t="s">
        <v>94</v>
      </c>
      <c r="J294" s="2">
        <v>6</v>
      </c>
      <c r="K294" s="2">
        <v>1200</v>
      </c>
      <c r="L294" s="2">
        <v>20</v>
      </c>
      <c r="M294" s="2">
        <v>5760</v>
      </c>
      <c r="N294" s="23">
        <f>(Table1[[#This Row],[Profit (PKR)]]/Table1[[#This Row],[Total Revenue (PKR)]])</f>
        <v>6.25E-2</v>
      </c>
      <c r="O294" s="2">
        <v>900</v>
      </c>
      <c r="P294" s="2">
        <v>5400</v>
      </c>
      <c r="Q294" s="2">
        <v>360</v>
      </c>
      <c r="R294" s="2" t="s">
        <v>22</v>
      </c>
      <c r="S294" s="2" t="str">
        <f>IF(AND(Table1[[#This Row],[Total Revenue (PKR)]]&gt;50000, Table1[[#This Row],[Discount %]]&lt;10),"High Value","Standard")</f>
        <v>Standard</v>
      </c>
      <c r="T294" s="2" t="s">
        <v>66</v>
      </c>
      <c r="U294" s="6" t="s">
        <v>44</v>
      </c>
      <c r="V294" s="19" t="s">
        <v>556</v>
      </c>
    </row>
    <row r="295" spans="1:22" x14ac:dyDescent="0.25">
      <c r="A295" s="5" t="s">
        <v>557</v>
      </c>
      <c r="B295" s="16">
        <f>DATEVALUE(Table1[[#This Row],[Date2]])</f>
        <v>45387</v>
      </c>
      <c r="C295" s="3" t="str">
        <f>TEXT(Table1[[#This Row],[Date]],"MMM")</f>
        <v>Apr</v>
      </c>
      <c r="D295" s="3" t="str">
        <f>"Q"&amp;ROUNDUP(MONTH(Table1[[#This Row],[Date]])/3,0)</f>
        <v>Q2</v>
      </c>
      <c r="E295" s="3">
        <f>YEAR(Table1[[#This Row],[Date]])</f>
        <v>2024</v>
      </c>
      <c r="F295" s="3" t="s">
        <v>100</v>
      </c>
      <c r="G295" s="3" t="s">
        <v>74</v>
      </c>
      <c r="H295" s="3" t="s">
        <v>53</v>
      </c>
      <c r="I295" s="3" t="s">
        <v>82</v>
      </c>
      <c r="J295" s="3">
        <v>12</v>
      </c>
      <c r="K295" s="3">
        <v>4000</v>
      </c>
      <c r="L295" s="3">
        <v>0</v>
      </c>
      <c r="M295" s="3">
        <v>48000</v>
      </c>
      <c r="N295" s="24">
        <f>(Table1[[#This Row],[Profit (PKR)]]/Table1[[#This Row],[Total Revenue (PKR)]])</f>
        <v>0.375</v>
      </c>
      <c r="O295" s="3">
        <v>2500</v>
      </c>
      <c r="P295" s="3">
        <v>30000</v>
      </c>
      <c r="Q295" s="3">
        <v>18000</v>
      </c>
      <c r="R295" s="3" t="s">
        <v>42</v>
      </c>
      <c r="S295" s="3" t="str">
        <f>IF(AND(Table1[[#This Row],[Total Revenue (PKR)]]&gt;50000, Table1[[#This Row],[Discount %]]&lt;10),"High Value","Standard")</f>
        <v>Standard</v>
      </c>
      <c r="T295" s="3" t="s">
        <v>36</v>
      </c>
      <c r="U295" s="7" t="s">
        <v>44</v>
      </c>
      <c r="V295" s="20" t="s">
        <v>558</v>
      </c>
    </row>
    <row r="296" spans="1:22" x14ac:dyDescent="0.25">
      <c r="A296" s="4" t="s">
        <v>559</v>
      </c>
      <c r="B296" s="15">
        <f>DATEVALUE(Table1[[#This Row],[Date2]])</f>
        <v>45488</v>
      </c>
      <c r="C296" s="2" t="str">
        <f>TEXT(Table1[[#This Row],[Date]],"MMM")</f>
        <v>Jul</v>
      </c>
      <c r="D296" s="2" t="str">
        <f>"Q"&amp;ROUNDUP(MONTH(Table1[[#This Row],[Date]])/3,0)</f>
        <v>Q3</v>
      </c>
      <c r="E296" s="2">
        <f>YEAR(Table1[[#This Row],[Date]])</f>
        <v>2024</v>
      </c>
      <c r="F296" s="2" t="s">
        <v>63</v>
      </c>
      <c r="G296" s="2" t="s">
        <v>74</v>
      </c>
      <c r="H296" s="2" t="s">
        <v>93</v>
      </c>
      <c r="I296" s="2" t="s">
        <v>109</v>
      </c>
      <c r="J296" s="2">
        <v>14</v>
      </c>
      <c r="K296" s="2">
        <v>700</v>
      </c>
      <c r="L296" s="2">
        <v>25</v>
      </c>
      <c r="M296" s="2">
        <v>7350</v>
      </c>
      <c r="N296" s="23">
        <f>(Table1[[#This Row],[Profit (PKR)]]/Table1[[#This Row],[Total Revenue (PKR)]])</f>
        <v>4.7619047619047616E-2</v>
      </c>
      <c r="O296" s="2">
        <v>500</v>
      </c>
      <c r="P296" s="2">
        <v>7000</v>
      </c>
      <c r="Q296" s="2">
        <v>350</v>
      </c>
      <c r="R296" s="2" t="s">
        <v>42</v>
      </c>
      <c r="S296" s="2" t="str">
        <f>IF(AND(Table1[[#This Row],[Total Revenue (PKR)]]&gt;50000, Table1[[#This Row],[Discount %]]&lt;10),"High Value","Standard")</f>
        <v>Standard</v>
      </c>
      <c r="T296" s="2" t="s">
        <v>66</v>
      </c>
      <c r="U296" s="6" t="s">
        <v>44</v>
      </c>
      <c r="V296" s="19" t="s">
        <v>556</v>
      </c>
    </row>
    <row r="297" spans="1:22" x14ac:dyDescent="0.25">
      <c r="A297" s="5" t="s">
        <v>560</v>
      </c>
      <c r="B297" s="16">
        <f>DATEVALUE(Table1[[#This Row],[Date2]])</f>
        <v>45581</v>
      </c>
      <c r="C297" s="3" t="str">
        <f>TEXT(Table1[[#This Row],[Date]],"MMM")</f>
        <v>Oct</v>
      </c>
      <c r="D297" s="3" t="str">
        <f>"Q"&amp;ROUNDUP(MONTH(Table1[[#This Row],[Date]])/3,0)</f>
        <v>Q4</v>
      </c>
      <c r="E297" s="3">
        <f>YEAR(Table1[[#This Row],[Date]])</f>
        <v>2024</v>
      </c>
      <c r="F297" s="3" t="s">
        <v>104</v>
      </c>
      <c r="G297" s="3" t="s">
        <v>64</v>
      </c>
      <c r="H297" s="3" t="s">
        <v>20</v>
      </c>
      <c r="I297" s="3" t="s">
        <v>65</v>
      </c>
      <c r="J297" s="3">
        <v>9</v>
      </c>
      <c r="K297" s="3">
        <v>18000</v>
      </c>
      <c r="L297" s="3">
        <v>5</v>
      </c>
      <c r="M297" s="3">
        <v>153900</v>
      </c>
      <c r="N297" s="24">
        <f>(Table1[[#This Row],[Profit (PKR)]]/Table1[[#This Row],[Total Revenue (PKR)]])</f>
        <v>0.2982456140350877</v>
      </c>
      <c r="O297" s="3">
        <v>12000</v>
      </c>
      <c r="P297" s="3">
        <v>108000</v>
      </c>
      <c r="Q297" s="3">
        <v>45900</v>
      </c>
      <c r="R297" s="3" t="s">
        <v>42</v>
      </c>
      <c r="S297" s="3" t="str">
        <f>IF(AND(Table1[[#This Row],[Total Revenue (PKR)]]&gt;50000, Table1[[#This Row],[Discount %]]&lt;10),"High Value","Standard")</f>
        <v>High Value</v>
      </c>
      <c r="T297" s="3" t="s">
        <v>36</v>
      </c>
      <c r="U297" s="7" t="s">
        <v>86</v>
      </c>
      <c r="V297" s="20" t="s">
        <v>344</v>
      </c>
    </row>
    <row r="298" spans="1:22" x14ac:dyDescent="0.25">
      <c r="A298" s="4" t="s">
        <v>561</v>
      </c>
      <c r="B298" s="15">
        <f>DATEVALUE(Table1[[#This Row],[Date2]])</f>
        <v>45581</v>
      </c>
      <c r="C298" s="2" t="str">
        <f>TEXT(Table1[[#This Row],[Date]],"MMM")</f>
        <v>Oct</v>
      </c>
      <c r="D298" s="2" t="str">
        <f>"Q"&amp;ROUNDUP(MONTH(Table1[[#This Row],[Date]])/3,0)</f>
        <v>Q4</v>
      </c>
      <c r="E298" s="2">
        <f>YEAR(Table1[[#This Row],[Date]])</f>
        <v>2024</v>
      </c>
      <c r="F298" s="2" t="s">
        <v>122</v>
      </c>
      <c r="G298" s="2" t="s">
        <v>159</v>
      </c>
      <c r="H298" s="2" t="s">
        <v>53</v>
      </c>
      <c r="I298" s="2" t="s">
        <v>82</v>
      </c>
      <c r="J298" s="2">
        <v>9</v>
      </c>
      <c r="K298" s="2">
        <v>4000</v>
      </c>
      <c r="L298" s="2">
        <v>20</v>
      </c>
      <c r="M298" s="2">
        <v>28800</v>
      </c>
      <c r="N298" s="23">
        <f>(Table1[[#This Row],[Profit (PKR)]]/Table1[[#This Row],[Total Revenue (PKR)]])</f>
        <v>0.21875</v>
      </c>
      <c r="O298" s="2">
        <v>2500</v>
      </c>
      <c r="P298" s="2">
        <v>22500</v>
      </c>
      <c r="Q298" s="2">
        <v>6300</v>
      </c>
      <c r="R298" s="2" t="s">
        <v>42</v>
      </c>
      <c r="S298" s="2" t="str">
        <f>IF(AND(Table1[[#This Row],[Total Revenue (PKR)]]&gt;50000, Table1[[#This Row],[Discount %]]&lt;10),"High Value","Standard")</f>
        <v>Standard</v>
      </c>
      <c r="T298" s="2" t="s">
        <v>30</v>
      </c>
      <c r="U298" s="6" t="s">
        <v>86</v>
      </c>
      <c r="V298" s="19" t="s">
        <v>344</v>
      </c>
    </row>
    <row r="299" spans="1:22" x14ac:dyDescent="0.25">
      <c r="A299" s="5" t="s">
        <v>562</v>
      </c>
      <c r="B299" s="16">
        <f>DATEVALUE(Table1[[#This Row],[Date2]])</f>
        <v>45313</v>
      </c>
      <c r="C299" s="3" t="str">
        <f>TEXT(Table1[[#This Row],[Date]],"MMM")</f>
        <v>Jan</v>
      </c>
      <c r="D299" s="3" t="str">
        <f>"Q"&amp;ROUNDUP(MONTH(Table1[[#This Row],[Date]])/3,0)</f>
        <v>Q1</v>
      </c>
      <c r="E299" s="3">
        <f>YEAR(Table1[[#This Row],[Date]])</f>
        <v>2024</v>
      </c>
      <c r="F299" s="3" t="s">
        <v>122</v>
      </c>
      <c r="G299" s="3" t="s">
        <v>64</v>
      </c>
      <c r="H299" s="3" t="s">
        <v>93</v>
      </c>
      <c r="I299" s="3" t="s">
        <v>119</v>
      </c>
      <c r="J299" s="3">
        <v>8</v>
      </c>
      <c r="K299" s="3">
        <v>800</v>
      </c>
      <c r="L299" s="3">
        <v>10</v>
      </c>
      <c r="M299" s="3">
        <v>5760</v>
      </c>
      <c r="N299" s="24">
        <f>(Table1[[#This Row],[Profit (PKR)]]/Table1[[#This Row],[Total Revenue (PKR)]])</f>
        <v>0.16666666666666666</v>
      </c>
      <c r="O299" s="3">
        <v>600</v>
      </c>
      <c r="P299" s="3">
        <v>4800</v>
      </c>
      <c r="Q299" s="3">
        <v>960</v>
      </c>
      <c r="R299" s="3" t="s">
        <v>22</v>
      </c>
      <c r="S299" s="3" t="str">
        <f>IF(AND(Table1[[#This Row],[Total Revenue (PKR)]]&gt;50000, Table1[[#This Row],[Discount %]]&lt;10),"High Value","Standard")</f>
        <v>Standard</v>
      </c>
      <c r="T299" s="3" t="s">
        <v>66</v>
      </c>
      <c r="U299" s="7" t="s">
        <v>44</v>
      </c>
      <c r="V299" s="20" t="s">
        <v>349</v>
      </c>
    </row>
    <row r="300" spans="1:22" x14ac:dyDescent="0.25">
      <c r="A300" s="4" t="s">
        <v>563</v>
      </c>
      <c r="B300" s="15">
        <f>DATEVALUE(Table1[[#This Row],[Date2]])</f>
        <v>45336</v>
      </c>
      <c r="C300" s="2" t="str">
        <f>TEXT(Table1[[#This Row],[Date]],"MMM")</f>
        <v>Feb</v>
      </c>
      <c r="D300" s="2" t="str">
        <f>"Q"&amp;ROUNDUP(MONTH(Table1[[#This Row],[Date]])/3,0)</f>
        <v>Q1</v>
      </c>
      <c r="E300" s="2">
        <f>YEAR(Table1[[#This Row],[Date]])</f>
        <v>2024</v>
      </c>
      <c r="F300" s="2" t="s">
        <v>122</v>
      </c>
      <c r="G300" s="2" t="s">
        <v>159</v>
      </c>
      <c r="H300" s="2" t="s">
        <v>34</v>
      </c>
      <c r="I300" s="2" t="s">
        <v>146</v>
      </c>
      <c r="J300" s="2">
        <v>19</v>
      </c>
      <c r="K300" s="2">
        <v>3500</v>
      </c>
      <c r="L300" s="2">
        <v>25</v>
      </c>
      <c r="M300" s="2">
        <v>49875</v>
      </c>
      <c r="N300" s="23">
        <f>(Table1[[#This Row],[Profit (PKR)]]/Table1[[#This Row],[Total Revenue (PKR)]])</f>
        <v>0.31428571428571428</v>
      </c>
      <c r="O300" s="2">
        <v>1800</v>
      </c>
      <c r="P300" s="2">
        <v>34200</v>
      </c>
      <c r="Q300" s="2">
        <v>15675</v>
      </c>
      <c r="R300" s="2" t="s">
        <v>42</v>
      </c>
      <c r="S300" s="2" t="str">
        <f>IF(AND(Table1[[#This Row],[Total Revenue (PKR)]]&gt;50000, Table1[[#This Row],[Discount %]]&lt;10),"High Value","Standard")</f>
        <v>Standard</v>
      </c>
      <c r="T300" s="2" t="s">
        <v>23</v>
      </c>
      <c r="U300" s="6" t="s">
        <v>24</v>
      </c>
      <c r="V300" s="19" t="s">
        <v>564</v>
      </c>
    </row>
    <row r="301" spans="1:22" x14ac:dyDescent="0.25">
      <c r="A301" s="5" t="s">
        <v>565</v>
      </c>
      <c r="B301" s="16">
        <f>DATEVALUE(Table1[[#This Row],[Date2]])</f>
        <v>45511</v>
      </c>
      <c r="C301" s="3" t="str">
        <f>TEXT(Table1[[#This Row],[Date]],"MMM")</f>
        <v>Aug</v>
      </c>
      <c r="D301" s="3" t="str">
        <f>"Q"&amp;ROUNDUP(MONTH(Table1[[#This Row],[Date]])/3,0)</f>
        <v>Q3</v>
      </c>
      <c r="E301" s="3">
        <f>YEAR(Table1[[#This Row],[Date]])</f>
        <v>2024</v>
      </c>
      <c r="F301" s="3" t="s">
        <v>92</v>
      </c>
      <c r="G301" s="3" t="s">
        <v>40</v>
      </c>
      <c r="H301" s="3" t="s">
        <v>34</v>
      </c>
      <c r="I301" s="3" t="s">
        <v>146</v>
      </c>
      <c r="J301" s="3">
        <v>2</v>
      </c>
      <c r="K301" s="3">
        <v>3500</v>
      </c>
      <c r="L301" s="3">
        <v>20</v>
      </c>
      <c r="M301" s="3">
        <v>5600</v>
      </c>
      <c r="N301" s="24">
        <f>(Table1[[#This Row],[Profit (PKR)]]/Table1[[#This Row],[Total Revenue (PKR)]])</f>
        <v>0.35714285714285715</v>
      </c>
      <c r="O301" s="3">
        <v>1800</v>
      </c>
      <c r="P301" s="3">
        <v>3600</v>
      </c>
      <c r="Q301" s="3">
        <v>2000</v>
      </c>
      <c r="R301" s="3" t="s">
        <v>42</v>
      </c>
      <c r="S301" s="3" t="str">
        <f>IF(AND(Table1[[#This Row],[Total Revenue (PKR)]]&gt;50000, Table1[[#This Row],[Discount %]]&lt;10),"High Value","Standard")</f>
        <v>Standard</v>
      </c>
      <c r="T301" s="3" t="s">
        <v>30</v>
      </c>
      <c r="U301" s="7" t="s">
        <v>44</v>
      </c>
      <c r="V301" s="20" t="s">
        <v>566</v>
      </c>
    </row>
    <row r="302" spans="1:22" x14ac:dyDescent="0.25">
      <c r="A302" s="4" t="s">
        <v>567</v>
      </c>
      <c r="B302" s="15">
        <f>DATEVALUE(Table1[[#This Row],[Date2]])</f>
        <v>45567</v>
      </c>
      <c r="C302" s="2" t="str">
        <f>TEXT(Table1[[#This Row],[Date]],"MMM")</f>
        <v>Oct</v>
      </c>
      <c r="D302" s="2" t="str">
        <f>"Q"&amp;ROUNDUP(MONTH(Table1[[#This Row],[Date]])/3,0)</f>
        <v>Q4</v>
      </c>
      <c r="E302" s="2">
        <f>YEAR(Table1[[#This Row],[Date]])</f>
        <v>2024</v>
      </c>
      <c r="F302" s="2" t="s">
        <v>92</v>
      </c>
      <c r="G302" s="2" t="s">
        <v>52</v>
      </c>
      <c r="H302" s="2" t="s">
        <v>20</v>
      </c>
      <c r="I302" s="2" t="s">
        <v>182</v>
      </c>
      <c r="J302" s="2">
        <v>19</v>
      </c>
      <c r="K302" s="2">
        <v>5000</v>
      </c>
      <c r="L302" s="2">
        <v>10</v>
      </c>
      <c r="M302" s="2">
        <v>85500</v>
      </c>
      <c r="N302" s="23">
        <f>(Table1[[#This Row],[Profit (PKR)]]/Table1[[#This Row],[Total Revenue (PKR)]])</f>
        <v>0.33333333333333331</v>
      </c>
      <c r="O302" s="2">
        <v>3000</v>
      </c>
      <c r="P302" s="2">
        <v>57000</v>
      </c>
      <c r="Q302" s="2">
        <v>28500</v>
      </c>
      <c r="R302" s="2" t="s">
        <v>22</v>
      </c>
      <c r="S302" s="2" t="str">
        <f>IF(AND(Table1[[#This Row],[Total Revenue (PKR)]]&gt;50000, Table1[[#This Row],[Discount %]]&lt;10),"High Value","Standard")</f>
        <v>Standard</v>
      </c>
      <c r="T302" s="2" t="s">
        <v>36</v>
      </c>
      <c r="U302" s="6" t="s">
        <v>95</v>
      </c>
      <c r="V302" s="19" t="s">
        <v>568</v>
      </c>
    </row>
    <row r="303" spans="1:22" x14ac:dyDescent="0.25">
      <c r="A303" s="5" t="s">
        <v>569</v>
      </c>
      <c r="B303" s="16">
        <f>DATEVALUE(Table1[[#This Row],[Date2]])</f>
        <v>45502</v>
      </c>
      <c r="C303" s="3" t="str">
        <f>TEXT(Table1[[#This Row],[Date]],"MMM")</f>
        <v>Jul</v>
      </c>
      <c r="D303" s="3" t="str">
        <f>"Q"&amp;ROUNDUP(MONTH(Table1[[#This Row],[Date]])/3,0)</f>
        <v>Q3</v>
      </c>
      <c r="E303" s="3">
        <f>YEAR(Table1[[#This Row],[Date]])</f>
        <v>2024</v>
      </c>
      <c r="F303" s="3" t="s">
        <v>104</v>
      </c>
      <c r="G303" s="3" t="s">
        <v>48</v>
      </c>
      <c r="H303" s="3" t="s">
        <v>34</v>
      </c>
      <c r="I303" s="3" t="s">
        <v>146</v>
      </c>
      <c r="J303" s="3">
        <v>8</v>
      </c>
      <c r="K303" s="3">
        <v>3500</v>
      </c>
      <c r="L303" s="3">
        <v>5</v>
      </c>
      <c r="M303" s="3">
        <v>26600</v>
      </c>
      <c r="N303" s="24">
        <f>(Table1[[#This Row],[Profit (PKR)]]/Table1[[#This Row],[Total Revenue (PKR)]])</f>
        <v>0.45864661654135336</v>
      </c>
      <c r="O303" s="3">
        <v>1800</v>
      </c>
      <c r="P303" s="3">
        <v>14400</v>
      </c>
      <c r="Q303" s="3">
        <v>12200</v>
      </c>
      <c r="R303" s="3" t="s">
        <v>42</v>
      </c>
      <c r="S303" s="3" t="str">
        <f>IF(AND(Table1[[#This Row],[Total Revenue (PKR)]]&gt;50000, Table1[[#This Row],[Discount %]]&lt;10),"High Value","Standard")</f>
        <v>Standard</v>
      </c>
      <c r="T303" s="3" t="s">
        <v>36</v>
      </c>
      <c r="U303" s="7" t="s">
        <v>86</v>
      </c>
      <c r="V303" s="20" t="s">
        <v>263</v>
      </c>
    </row>
    <row r="304" spans="1:22" x14ac:dyDescent="0.25">
      <c r="A304" s="4" t="s">
        <v>570</v>
      </c>
      <c r="B304" s="15">
        <f>DATEVALUE(Table1[[#This Row],[Date2]])</f>
        <v>45638</v>
      </c>
      <c r="C304" s="2" t="str">
        <f>TEXT(Table1[[#This Row],[Date]],"MMM")</f>
        <v>Dec</v>
      </c>
      <c r="D304" s="2" t="str">
        <f>"Q"&amp;ROUNDUP(MONTH(Table1[[#This Row],[Date]])/3,0)</f>
        <v>Q4</v>
      </c>
      <c r="E304" s="2">
        <f>YEAR(Table1[[#This Row],[Date]])</f>
        <v>2024</v>
      </c>
      <c r="F304" s="2" t="s">
        <v>77</v>
      </c>
      <c r="G304" s="2" t="s">
        <v>74</v>
      </c>
      <c r="H304" s="2" t="s">
        <v>34</v>
      </c>
      <c r="I304" s="2" t="s">
        <v>89</v>
      </c>
      <c r="J304" s="2">
        <v>9</v>
      </c>
      <c r="K304" s="2">
        <v>4500</v>
      </c>
      <c r="L304" s="2">
        <v>25</v>
      </c>
      <c r="M304" s="2">
        <v>30375</v>
      </c>
      <c r="N304" s="23">
        <f>(Table1[[#This Row],[Profit (PKR)]]/Table1[[#This Row],[Total Revenue (PKR)]])</f>
        <v>0.25925925925925924</v>
      </c>
      <c r="O304" s="2">
        <v>2500</v>
      </c>
      <c r="P304" s="2">
        <v>22500</v>
      </c>
      <c r="Q304" s="2">
        <v>7875</v>
      </c>
      <c r="R304" s="2" t="s">
        <v>42</v>
      </c>
      <c r="S304" s="2" t="str">
        <f>IF(AND(Table1[[#This Row],[Total Revenue (PKR)]]&gt;50000, Table1[[#This Row],[Discount %]]&lt;10),"High Value","Standard")</f>
        <v>Standard</v>
      </c>
      <c r="T304" s="2" t="s">
        <v>66</v>
      </c>
      <c r="U304" s="6" t="s">
        <v>44</v>
      </c>
      <c r="V304" s="19" t="s">
        <v>571</v>
      </c>
    </row>
    <row r="305" spans="1:22" x14ac:dyDescent="0.25">
      <c r="A305" s="5" t="s">
        <v>572</v>
      </c>
      <c r="B305" s="16">
        <f>DATEVALUE(Table1[[#This Row],[Date2]])</f>
        <v>45616</v>
      </c>
      <c r="C305" s="3" t="str">
        <f>TEXT(Table1[[#This Row],[Date]],"MMM")</f>
        <v>Nov</v>
      </c>
      <c r="D305" s="3" t="str">
        <f>"Q"&amp;ROUNDUP(MONTH(Table1[[#This Row],[Date]])/3,0)</f>
        <v>Q4</v>
      </c>
      <c r="E305" s="3">
        <f>YEAR(Table1[[#This Row],[Date]])</f>
        <v>2024</v>
      </c>
      <c r="F305" s="3" t="s">
        <v>18</v>
      </c>
      <c r="G305" s="3" t="s">
        <v>27</v>
      </c>
      <c r="H305" s="3" t="s">
        <v>53</v>
      </c>
      <c r="I305" s="3" t="s">
        <v>85</v>
      </c>
      <c r="J305" s="3">
        <v>12</v>
      </c>
      <c r="K305" s="3">
        <v>1500</v>
      </c>
      <c r="L305" s="3">
        <v>15</v>
      </c>
      <c r="M305" s="3">
        <v>15300</v>
      </c>
      <c r="N305" s="24">
        <f>(Table1[[#This Row],[Profit (PKR)]]/Table1[[#This Row],[Total Revenue (PKR)]])</f>
        <v>0.37254901960784315</v>
      </c>
      <c r="O305" s="3">
        <v>800</v>
      </c>
      <c r="P305" s="3">
        <v>9600</v>
      </c>
      <c r="Q305" s="3">
        <v>5700</v>
      </c>
      <c r="R305" s="3" t="s">
        <v>42</v>
      </c>
      <c r="S305" s="3" t="str">
        <f>IF(AND(Table1[[#This Row],[Total Revenue (PKR)]]&gt;50000, Table1[[#This Row],[Discount %]]&lt;10),"High Value","Standard")</f>
        <v>Standard</v>
      </c>
      <c r="T305" s="3" t="s">
        <v>55</v>
      </c>
      <c r="U305" s="7" t="s">
        <v>44</v>
      </c>
      <c r="V305" s="20" t="s">
        <v>311</v>
      </c>
    </row>
    <row r="306" spans="1:22" x14ac:dyDescent="0.25">
      <c r="A306" s="4" t="s">
        <v>573</v>
      </c>
      <c r="B306" s="15">
        <f>DATEVALUE(Table1[[#This Row],[Date2]])</f>
        <v>45339</v>
      </c>
      <c r="C306" s="2" t="str">
        <f>TEXT(Table1[[#This Row],[Date]],"MMM")</f>
        <v>Feb</v>
      </c>
      <c r="D306" s="2" t="str">
        <f>"Q"&amp;ROUNDUP(MONTH(Table1[[#This Row],[Date]])/3,0)</f>
        <v>Q1</v>
      </c>
      <c r="E306" s="2">
        <f>YEAR(Table1[[#This Row],[Date]])</f>
        <v>2024</v>
      </c>
      <c r="F306" s="2" t="s">
        <v>122</v>
      </c>
      <c r="G306" s="2" t="s">
        <v>52</v>
      </c>
      <c r="H306" s="2" t="s">
        <v>28</v>
      </c>
      <c r="I306" s="2" t="s">
        <v>127</v>
      </c>
      <c r="J306" s="2">
        <v>13</v>
      </c>
      <c r="K306" s="2">
        <v>15000</v>
      </c>
      <c r="L306" s="2">
        <v>5</v>
      </c>
      <c r="M306" s="2">
        <v>185250</v>
      </c>
      <c r="N306" s="23">
        <f>(Table1[[#This Row],[Profit (PKR)]]/Table1[[#This Row],[Total Revenue (PKR)]])</f>
        <v>0.2982456140350877</v>
      </c>
      <c r="O306" s="2">
        <v>10000</v>
      </c>
      <c r="P306" s="2">
        <v>130000</v>
      </c>
      <c r="Q306" s="2">
        <v>55250</v>
      </c>
      <c r="R306" s="2" t="s">
        <v>42</v>
      </c>
      <c r="S306" s="2" t="str">
        <f>IF(AND(Table1[[#This Row],[Total Revenue (PKR)]]&gt;50000, Table1[[#This Row],[Discount %]]&lt;10),"High Value","Standard")</f>
        <v>High Value</v>
      </c>
      <c r="T306" s="2" t="s">
        <v>36</v>
      </c>
      <c r="U306" s="6" t="s">
        <v>44</v>
      </c>
      <c r="V306" s="19" t="s">
        <v>574</v>
      </c>
    </row>
    <row r="307" spans="1:22" x14ac:dyDescent="0.25">
      <c r="A307" s="5" t="s">
        <v>575</v>
      </c>
      <c r="B307" s="16">
        <f>DATEVALUE(Table1[[#This Row],[Date2]])</f>
        <v>45457</v>
      </c>
      <c r="C307" s="3" t="str">
        <f>TEXT(Table1[[#This Row],[Date]],"MMM")</f>
        <v>Jun</v>
      </c>
      <c r="D307" s="3" t="str">
        <f>"Q"&amp;ROUNDUP(MONTH(Table1[[#This Row],[Date]])/3,0)</f>
        <v>Q2</v>
      </c>
      <c r="E307" s="3">
        <f>YEAR(Table1[[#This Row],[Date]])</f>
        <v>2024</v>
      </c>
      <c r="F307" s="3" t="s">
        <v>39</v>
      </c>
      <c r="G307" s="3" t="s">
        <v>52</v>
      </c>
      <c r="H307" s="3" t="s">
        <v>53</v>
      </c>
      <c r="I307" s="3" t="s">
        <v>101</v>
      </c>
      <c r="J307" s="3">
        <v>5</v>
      </c>
      <c r="K307" s="3">
        <v>1200</v>
      </c>
      <c r="L307" s="3">
        <v>20</v>
      </c>
      <c r="M307" s="3">
        <v>4800</v>
      </c>
      <c r="N307" s="24">
        <f>(Table1[[#This Row],[Profit (PKR)]]/Table1[[#This Row],[Total Revenue (PKR)]])</f>
        <v>0.27083333333333331</v>
      </c>
      <c r="O307" s="3">
        <v>700</v>
      </c>
      <c r="P307" s="3">
        <v>3500</v>
      </c>
      <c r="Q307" s="3">
        <v>1300</v>
      </c>
      <c r="R307" s="3" t="s">
        <v>42</v>
      </c>
      <c r="S307" s="3" t="str">
        <f>IF(AND(Table1[[#This Row],[Total Revenue (PKR)]]&gt;50000, Table1[[#This Row],[Discount %]]&lt;10),"High Value","Standard")</f>
        <v>Standard</v>
      </c>
      <c r="T307" s="3" t="s">
        <v>55</v>
      </c>
      <c r="U307" s="7" t="s">
        <v>86</v>
      </c>
      <c r="V307" s="20" t="s">
        <v>209</v>
      </c>
    </row>
    <row r="308" spans="1:22" x14ac:dyDescent="0.25">
      <c r="A308" s="4" t="s">
        <v>576</v>
      </c>
      <c r="B308" s="15">
        <f>DATEVALUE(Table1[[#This Row],[Date2]])</f>
        <v>45316</v>
      </c>
      <c r="C308" s="2" t="str">
        <f>TEXT(Table1[[#This Row],[Date]],"MMM")</f>
        <v>Jan</v>
      </c>
      <c r="D308" s="2" t="str">
        <f>"Q"&amp;ROUNDUP(MONTH(Table1[[#This Row],[Date]])/3,0)</f>
        <v>Q1</v>
      </c>
      <c r="E308" s="2">
        <f>YEAR(Table1[[#This Row],[Date]])</f>
        <v>2024</v>
      </c>
      <c r="F308" s="2" t="s">
        <v>104</v>
      </c>
      <c r="G308" s="2" t="s">
        <v>159</v>
      </c>
      <c r="H308" s="2" t="s">
        <v>93</v>
      </c>
      <c r="I308" s="2" t="s">
        <v>119</v>
      </c>
      <c r="J308" s="2">
        <v>4</v>
      </c>
      <c r="K308" s="2">
        <v>800</v>
      </c>
      <c r="L308" s="2">
        <v>5</v>
      </c>
      <c r="M308" s="2">
        <v>3040</v>
      </c>
      <c r="N308" s="23">
        <f>(Table1[[#This Row],[Profit (PKR)]]/Table1[[#This Row],[Total Revenue (PKR)]])</f>
        <v>0.21052631578947367</v>
      </c>
      <c r="O308" s="2">
        <v>600</v>
      </c>
      <c r="P308" s="2">
        <v>2400</v>
      </c>
      <c r="Q308" s="2">
        <v>640</v>
      </c>
      <c r="R308" s="2" t="s">
        <v>42</v>
      </c>
      <c r="S308" s="2" t="str">
        <f>IF(AND(Table1[[#This Row],[Total Revenue (PKR)]]&gt;50000, Table1[[#This Row],[Discount %]]&lt;10),"High Value","Standard")</f>
        <v>Standard</v>
      </c>
      <c r="T308" s="2" t="s">
        <v>66</v>
      </c>
      <c r="U308" s="6" t="s">
        <v>44</v>
      </c>
      <c r="V308" s="19" t="s">
        <v>483</v>
      </c>
    </row>
    <row r="309" spans="1:22" x14ac:dyDescent="0.25">
      <c r="A309" s="5" t="s">
        <v>577</v>
      </c>
      <c r="B309" s="16">
        <f>DATEVALUE(Table1[[#This Row],[Date2]])</f>
        <v>45511</v>
      </c>
      <c r="C309" s="3" t="str">
        <f>TEXT(Table1[[#This Row],[Date]],"MMM")</f>
        <v>Aug</v>
      </c>
      <c r="D309" s="3" t="str">
        <f>"Q"&amp;ROUNDUP(MONTH(Table1[[#This Row],[Date]])/3,0)</f>
        <v>Q3</v>
      </c>
      <c r="E309" s="3">
        <f>YEAR(Table1[[#This Row],[Date]])</f>
        <v>2024</v>
      </c>
      <c r="F309" s="3" t="s">
        <v>33</v>
      </c>
      <c r="G309" s="3" t="s">
        <v>40</v>
      </c>
      <c r="H309" s="3" t="s">
        <v>20</v>
      </c>
      <c r="I309" s="3" t="s">
        <v>21</v>
      </c>
      <c r="J309" s="3">
        <v>9</v>
      </c>
      <c r="K309" s="3">
        <v>3500</v>
      </c>
      <c r="L309" s="3">
        <v>0</v>
      </c>
      <c r="M309" s="3">
        <v>31500</v>
      </c>
      <c r="N309" s="24">
        <f>(Table1[[#This Row],[Profit (PKR)]]/Table1[[#This Row],[Total Revenue (PKR)]])</f>
        <v>0.42857142857142855</v>
      </c>
      <c r="O309" s="3">
        <v>2000</v>
      </c>
      <c r="P309" s="3">
        <v>18000</v>
      </c>
      <c r="Q309" s="3">
        <v>13500</v>
      </c>
      <c r="R309" s="3" t="s">
        <v>42</v>
      </c>
      <c r="S309" s="3" t="str">
        <f>IF(AND(Table1[[#This Row],[Total Revenue (PKR)]]&gt;50000, Table1[[#This Row],[Discount %]]&lt;10),"High Value","Standard")</f>
        <v>Standard</v>
      </c>
      <c r="T309" s="3" t="s">
        <v>55</v>
      </c>
      <c r="U309" s="7" t="s">
        <v>44</v>
      </c>
      <c r="V309" s="20" t="s">
        <v>566</v>
      </c>
    </row>
    <row r="310" spans="1:22" x14ac:dyDescent="0.25">
      <c r="A310" s="4" t="s">
        <v>578</v>
      </c>
      <c r="B310" s="15">
        <f>DATEVALUE(Table1[[#This Row],[Date2]])</f>
        <v>45632</v>
      </c>
      <c r="C310" s="2" t="str">
        <f>TEXT(Table1[[#This Row],[Date]],"MMM")</f>
        <v>Dec</v>
      </c>
      <c r="D310" s="2" t="str">
        <f>"Q"&amp;ROUNDUP(MONTH(Table1[[#This Row],[Date]])/3,0)</f>
        <v>Q4</v>
      </c>
      <c r="E310" s="2">
        <f>YEAR(Table1[[#This Row],[Date]])</f>
        <v>2024</v>
      </c>
      <c r="F310" s="2" t="s">
        <v>92</v>
      </c>
      <c r="G310" s="2" t="s">
        <v>19</v>
      </c>
      <c r="H310" s="2" t="s">
        <v>93</v>
      </c>
      <c r="I310" s="2" t="s">
        <v>98</v>
      </c>
      <c r="J310" s="2">
        <v>8</v>
      </c>
      <c r="K310" s="2">
        <v>400</v>
      </c>
      <c r="L310" s="2">
        <v>15</v>
      </c>
      <c r="M310" s="2">
        <v>2720</v>
      </c>
      <c r="N310" s="23">
        <f>(Table1[[#This Row],[Profit (PKR)]]/Table1[[#This Row],[Total Revenue (PKR)]])</f>
        <v>0.17647058823529413</v>
      </c>
      <c r="O310" s="2">
        <v>280</v>
      </c>
      <c r="P310" s="2">
        <v>2240</v>
      </c>
      <c r="Q310" s="2">
        <v>480</v>
      </c>
      <c r="R310" s="2" t="s">
        <v>22</v>
      </c>
      <c r="S310" s="2" t="str">
        <f>IF(AND(Table1[[#This Row],[Total Revenue (PKR)]]&gt;50000, Table1[[#This Row],[Discount %]]&lt;10),"High Value","Standard")</f>
        <v>Standard</v>
      </c>
      <c r="T310" s="2" t="s">
        <v>23</v>
      </c>
      <c r="U310" s="6" t="s">
        <v>44</v>
      </c>
      <c r="V310" s="19" t="s">
        <v>579</v>
      </c>
    </row>
    <row r="311" spans="1:22" x14ac:dyDescent="0.25">
      <c r="A311" s="5" t="s">
        <v>580</v>
      </c>
      <c r="B311" s="16">
        <f>DATEVALUE(Table1[[#This Row],[Date2]])</f>
        <v>45401</v>
      </c>
      <c r="C311" s="3" t="str">
        <f>TEXT(Table1[[#This Row],[Date]],"MMM")</f>
        <v>Apr</v>
      </c>
      <c r="D311" s="3" t="str">
        <f>"Q"&amp;ROUNDUP(MONTH(Table1[[#This Row],[Date]])/3,0)</f>
        <v>Q2</v>
      </c>
      <c r="E311" s="3">
        <f>YEAR(Table1[[#This Row],[Date]])</f>
        <v>2024</v>
      </c>
      <c r="F311" s="3" t="s">
        <v>122</v>
      </c>
      <c r="G311" s="3" t="s">
        <v>159</v>
      </c>
      <c r="H311" s="3" t="s">
        <v>34</v>
      </c>
      <c r="I311" s="3" t="s">
        <v>89</v>
      </c>
      <c r="J311" s="3">
        <v>8</v>
      </c>
      <c r="K311" s="3">
        <v>4500</v>
      </c>
      <c r="L311" s="3">
        <v>20</v>
      </c>
      <c r="M311" s="3">
        <v>28800</v>
      </c>
      <c r="N311" s="24">
        <f>(Table1[[#This Row],[Profit (PKR)]]/Table1[[#This Row],[Total Revenue (PKR)]])</f>
        <v>0.30555555555555558</v>
      </c>
      <c r="O311" s="3">
        <v>2500</v>
      </c>
      <c r="P311" s="3">
        <v>20000</v>
      </c>
      <c r="Q311" s="3">
        <v>8800</v>
      </c>
      <c r="R311" s="3" t="s">
        <v>42</v>
      </c>
      <c r="S311" s="3" t="str">
        <f>IF(AND(Table1[[#This Row],[Total Revenue (PKR)]]&gt;50000, Table1[[#This Row],[Discount %]]&lt;10),"High Value","Standard")</f>
        <v>Standard</v>
      </c>
      <c r="T311" s="3" t="s">
        <v>43</v>
      </c>
      <c r="U311" s="7" t="s">
        <v>44</v>
      </c>
      <c r="V311" s="20" t="s">
        <v>106</v>
      </c>
    </row>
    <row r="312" spans="1:22" x14ac:dyDescent="0.25">
      <c r="A312" s="4" t="s">
        <v>581</v>
      </c>
      <c r="B312" s="15">
        <f>DATEVALUE(Table1[[#This Row],[Date2]])</f>
        <v>45467</v>
      </c>
      <c r="C312" s="2" t="str">
        <f>TEXT(Table1[[#This Row],[Date]],"MMM")</f>
        <v>Jun</v>
      </c>
      <c r="D312" s="2" t="str">
        <f>"Q"&amp;ROUNDUP(MONTH(Table1[[#This Row],[Date]])/3,0)</f>
        <v>Q2</v>
      </c>
      <c r="E312" s="2">
        <f>YEAR(Table1[[#This Row],[Date]])</f>
        <v>2024</v>
      </c>
      <c r="F312" s="2" t="s">
        <v>18</v>
      </c>
      <c r="G312" s="2" t="s">
        <v>27</v>
      </c>
      <c r="H312" s="2" t="s">
        <v>34</v>
      </c>
      <c r="I312" s="2" t="s">
        <v>35</v>
      </c>
      <c r="J312" s="2">
        <v>3</v>
      </c>
      <c r="K312" s="2">
        <v>6000</v>
      </c>
      <c r="L312" s="2">
        <v>5</v>
      </c>
      <c r="M312" s="2">
        <v>17100</v>
      </c>
      <c r="N312" s="23">
        <f>(Table1[[#This Row],[Profit (PKR)]]/Table1[[#This Row],[Total Revenue (PKR)]])</f>
        <v>0.38596491228070173</v>
      </c>
      <c r="O312" s="2">
        <v>3500</v>
      </c>
      <c r="P312" s="2">
        <v>10500</v>
      </c>
      <c r="Q312" s="2">
        <v>6600</v>
      </c>
      <c r="R312" s="2" t="s">
        <v>42</v>
      </c>
      <c r="S312" s="2" t="str">
        <f>IF(AND(Table1[[#This Row],[Total Revenue (PKR)]]&gt;50000, Table1[[#This Row],[Discount %]]&lt;10),"High Value","Standard")</f>
        <v>Standard</v>
      </c>
      <c r="T312" s="2" t="s">
        <v>43</v>
      </c>
      <c r="U312" s="6" t="s">
        <v>24</v>
      </c>
      <c r="V312" s="19" t="s">
        <v>351</v>
      </c>
    </row>
    <row r="313" spans="1:22" x14ac:dyDescent="0.25">
      <c r="A313" s="5" t="s">
        <v>582</v>
      </c>
      <c r="B313" s="16">
        <f>DATEVALUE(Table1[[#This Row],[Date2]])</f>
        <v>45344</v>
      </c>
      <c r="C313" s="3" t="str">
        <f>TEXT(Table1[[#This Row],[Date]],"MMM")</f>
        <v>Feb</v>
      </c>
      <c r="D313" s="3" t="str">
        <f>"Q"&amp;ROUNDUP(MONTH(Table1[[#This Row],[Date]])/3,0)</f>
        <v>Q1</v>
      </c>
      <c r="E313" s="3">
        <f>YEAR(Table1[[#This Row],[Date]])</f>
        <v>2024</v>
      </c>
      <c r="F313" s="3" t="s">
        <v>18</v>
      </c>
      <c r="G313" s="3" t="s">
        <v>52</v>
      </c>
      <c r="H313" s="3" t="s">
        <v>20</v>
      </c>
      <c r="I313" s="3" t="s">
        <v>182</v>
      </c>
      <c r="J313" s="3">
        <v>5</v>
      </c>
      <c r="K313" s="3">
        <v>5000</v>
      </c>
      <c r="L313" s="3">
        <v>15</v>
      </c>
      <c r="M313" s="3">
        <v>21250</v>
      </c>
      <c r="N313" s="24">
        <f>(Table1[[#This Row],[Profit (PKR)]]/Table1[[#This Row],[Total Revenue (PKR)]])</f>
        <v>0.29411764705882354</v>
      </c>
      <c r="O313" s="3">
        <v>3000</v>
      </c>
      <c r="P313" s="3">
        <v>15000</v>
      </c>
      <c r="Q313" s="3">
        <v>6250</v>
      </c>
      <c r="R313" s="3" t="s">
        <v>22</v>
      </c>
      <c r="S313" s="3" t="str">
        <f>IF(AND(Table1[[#This Row],[Total Revenue (PKR)]]&gt;50000, Table1[[#This Row],[Discount %]]&lt;10),"High Value","Standard")</f>
        <v>Standard</v>
      </c>
      <c r="T313" s="3" t="s">
        <v>23</v>
      </c>
      <c r="U313" s="7" t="s">
        <v>56</v>
      </c>
      <c r="V313" s="20" t="s">
        <v>391</v>
      </c>
    </row>
    <row r="314" spans="1:22" x14ac:dyDescent="0.25">
      <c r="A314" s="4" t="s">
        <v>583</v>
      </c>
      <c r="B314" s="15">
        <f>DATEVALUE(Table1[[#This Row],[Date2]])</f>
        <v>45365</v>
      </c>
      <c r="C314" s="2" t="str">
        <f>TEXT(Table1[[#This Row],[Date]],"MMM")</f>
        <v>Mar</v>
      </c>
      <c r="D314" s="2" t="str">
        <f>"Q"&amp;ROUNDUP(MONTH(Table1[[#This Row],[Date]])/3,0)</f>
        <v>Q1</v>
      </c>
      <c r="E314" s="2">
        <f>YEAR(Table1[[#This Row],[Date]])</f>
        <v>2024</v>
      </c>
      <c r="F314" s="2" t="s">
        <v>18</v>
      </c>
      <c r="G314" s="2" t="s">
        <v>19</v>
      </c>
      <c r="H314" s="2" t="s">
        <v>53</v>
      </c>
      <c r="I314" s="2" t="s">
        <v>54</v>
      </c>
      <c r="J314" s="2">
        <v>15</v>
      </c>
      <c r="K314" s="2">
        <v>2000</v>
      </c>
      <c r="L314" s="2">
        <v>10</v>
      </c>
      <c r="M314" s="2">
        <v>27000</v>
      </c>
      <c r="N314" s="23">
        <f>(Table1[[#This Row],[Profit (PKR)]]/Table1[[#This Row],[Total Revenue (PKR)]])</f>
        <v>0.33333333333333331</v>
      </c>
      <c r="O314" s="2">
        <v>1200</v>
      </c>
      <c r="P314" s="2">
        <v>18000</v>
      </c>
      <c r="Q314" s="2">
        <v>9000</v>
      </c>
      <c r="R314" s="2" t="s">
        <v>22</v>
      </c>
      <c r="S314" s="2" t="str">
        <f>IF(AND(Table1[[#This Row],[Total Revenue (PKR)]]&gt;50000, Table1[[#This Row],[Discount %]]&lt;10),"High Value","Standard")</f>
        <v>Standard</v>
      </c>
      <c r="T314" s="2" t="s">
        <v>23</v>
      </c>
      <c r="U314" s="6" t="s">
        <v>24</v>
      </c>
      <c r="V314" s="19" t="s">
        <v>324</v>
      </c>
    </row>
    <row r="315" spans="1:22" x14ac:dyDescent="0.25">
      <c r="A315" s="5" t="s">
        <v>584</v>
      </c>
      <c r="B315" s="16">
        <f>DATEVALUE(Table1[[#This Row],[Date2]])</f>
        <v>45502</v>
      </c>
      <c r="C315" s="3" t="str">
        <f>TEXT(Table1[[#This Row],[Date]],"MMM")</f>
        <v>Jul</v>
      </c>
      <c r="D315" s="3" t="str">
        <f>"Q"&amp;ROUNDUP(MONTH(Table1[[#This Row],[Date]])/3,0)</f>
        <v>Q3</v>
      </c>
      <c r="E315" s="3">
        <f>YEAR(Table1[[#This Row],[Date]])</f>
        <v>2024</v>
      </c>
      <c r="F315" s="3" t="s">
        <v>47</v>
      </c>
      <c r="G315" s="3" t="s">
        <v>74</v>
      </c>
      <c r="H315" s="3" t="s">
        <v>34</v>
      </c>
      <c r="I315" s="3" t="s">
        <v>196</v>
      </c>
      <c r="J315" s="3">
        <v>4</v>
      </c>
      <c r="K315" s="3">
        <v>2500</v>
      </c>
      <c r="L315" s="3">
        <v>5</v>
      </c>
      <c r="M315" s="3">
        <v>9500</v>
      </c>
      <c r="N315" s="24">
        <f>(Table1[[#This Row],[Profit (PKR)]]/Table1[[#This Row],[Total Revenue (PKR)]])</f>
        <v>0.49473684210526314</v>
      </c>
      <c r="O315" s="3">
        <v>1200</v>
      </c>
      <c r="P315" s="3">
        <v>4800</v>
      </c>
      <c r="Q315" s="3">
        <v>4700</v>
      </c>
      <c r="R315" s="3" t="s">
        <v>22</v>
      </c>
      <c r="S315" s="3" t="str">
        <f>IF(AND(Table1[[#This Row],[Total Revenue (PKR)]]&gt;50000, Table1[[#This Row],[Discount %]]&lt;10),"High Value","Standard")</f>
        <v>Standard</v>
      </c>
      <c r="T315" s="3" t="s">
        <v>30</v>
      </c>
      <c r="U315" s="7" t="s">
        <v>24</v>
      </c>
      <c r="V315" s="20" t="s">
        <v>263</v>
      </c>
    </row>
    <row r="316" spans="1:22" x14ac:dyDescent="0.25">
      <c r="A316" s="4" t="s">
        <v>585</v>
      </c>
      <c r="B316" s="15">
        <f>DATEVALUE(Table1[[#This Row],[Date2]])</f>
        <v>45471</v>
      </c>
      <c r="C316" s="2" t="str">
        <f>TEXT(Table1[[#This Row],[Date]],"MMM")</f>
        <v>Jun</v>
      </c>
      <c r="D316" s="2" t="str">
        <f>"Q"&amp;ROUNDUP(MONTH(Table1[[#This Row],[Date]])/3,0)</f>
        <v>Q2</v>
      </c>
      <c r="E316" s="2">
        <f>YEAR(Table1[[#This Row],[Date]])</f>
        <v>2024</v>
      </c>
      <c r="F316" s="2" t="s">
        <v>77</v>
      </c>
      <c r="G316" s="2" t="s">
        <v>52</v>
      </c>
      <c r="H316" s="2" t="s">
        <v>34</v>
      </c>
      <c r="I316" s="2" t="s">
        <v>146</v>
      </c>
      <c r="J316" s="2">
        <v>9</v>
      </c>
      <c r="K316" s="2">
        <v>3500</v>
      </c>
      <c r="L316" s="2">
        <v>25</v>
      </c>
      <c r="M316" s="2">
        <v>23625</v>
      </c>
      <c r="N316" s="23">
        <f>(Table1[[#This Row],[Profit (PKR)]]/Table1[[#This Row],[Total Revenue (PKR)]])</f>
        <v>0.31428571428571428</v>
      </c>
      <c r="O316" s="2">
        <v>1800</v>
      </c>
      <c r="P316" s="2">
        <v>16200</v>
      </c>
      <c r="Q316" s="2">
        <v>7425</v>
      </c>
      <c r="R316" s="2" t="s">
        <v>22</v>
      </c>
      <c r="S316" s="2" t="str">
        <f>IF(AND(Table1[[#This Row],[Total Revenue (PKR)]]&gt;50000, Table1[[#This Row],[Discount %]]&lt;10),"High Value","Standard")</f>
        <v>Standard</v>
      </c>
      <c r="T316" s="2" t="s">
        <v>36</v>
      </c>
      <c r="U316" s="6" t="s">
        <v>44</v>
      </c>
      <c r="V316" s="19" t="s">
        <v>357</v>
      </c>
    </row>
    <row r="317" spans="1:22" x14ac:dyDescent="0.25">
      <c r="A317" s="5" t="s">
        <v>586</v>
      </c>
      <c r="B317" s="16">
        <f>DATEVALUE(Table1[[#This Row],[Date2]])</f>
        <v>45599</v>
      </c>
      <c r="C317" s="3" t="str">
        <f>TEXT(Table1[[#This Row],[Date]],"MMM")</f>
        <v>Nov</v>
      </c>
      <c r="D317" s="3" t="str">
        <f>"Q"&amp;ROUNDUP(MONTH(Table1[[#This Row],[Date]])/3,0)</f>
        <v>Q4</v>
      </c>
      <c r="E317" s="3">
        <f>YEAR(Table1[[#This Row],[Date]])</f>
        <v>2024</v>
      </c>
      <c r="F317" s="3" t="s">
        <v>47</v>
      </c>
      <c r="G317" s="3" t="s">
        <v>48</v>
      </c>
      <c r="H317" s="3" t="s">
        <v>28</v>
      </c>
      <c r="I317" s="3" t="s">
        <v>274</v>
      </c>
      <c r="J317" s="3">
        <v>7</v>
      </c>
      <c r="K317" s="3">
        <v>35000</v>
      </c>
      <c r="L317" s="3">
        <v>20</v>
      </c>
      <c r="M317" s="3">
        <v>196000</v>
      </c>
      <c r="N317" s="24">
        <f>(Table1[[#This Row],[Profit (PKR)]]/Table1[[#This Row],[Total Revenue (PKR)]])</f>
        <v>7.1428571428571425E-2</v>
      </c>
      <c r="O317" s="3">
        <v>26000</v>
      </c>
      <c r="P317" s="3">
        <v>182000</v>
      </c>
      <c r="Q317" s="3">
        <v>14000</v>
      </c>
      <c r="R317" s="3" t="s">
        <v>22</v>
      </c>
      <c r="S317" s="3" t="str">
        <f>IF(AND(Table1[[#This Row],[Total Revenue (PKR)]]&gt;50000, Table1[[#This Row],[Discount %]]&lt;10),"High Value","Standard")</f>
        <v>Standard</v>
      </c>
      <c r="T317" s="3" t="s">
        <v>23</v>
      </c>
      <c r="U317" s="7" t="s">
        <v>44</v>
      </c>
      <c r="V317" s="20" t="s">
        <v>587</v>
      </c>
    </row>
    <row r="318" spans="1:22" x14ac:dyDescent="0.25">
      <c r="A318" s="4" t="s">
        <v>588</v>
      </c>
      <c r="B318" s="15">
        <f>DATEVALUE(Table1[[#This Row],[Date2]])</f>
        <v>45622</v>
      </c>
      <c r="C318" s="2" t="str">
        <f>TEXT(Table1[[#This Row],[Date]],"MMM")</f>
        <v>Nov</v>
      </c>
      <c r="D318" s="2" t="str">
        <f>"Q"&amp;ROUNDUP(MONTH(Table1[[#This Row],[Date]])/3,0)</f>
        <v>Q4</v>
      </c>
      <c r="E318" s="2">
        <f>YEAR(Table1[[#This Row],[Date]])</f>
        <v>2024</v>
      </c>
      <c r="F318" s="2" t="s">
        <v>104</v>
      </c>
      <c r="G318" s="2" t="s">
        <v>64</v>
      </c>
      <c r="H318" s="2" t="s">
        <v>93</v>
      </c>
      <c r="I318" s="2" t="s">
        <v>109</v>
      </c>
      <c r="J318" s="2">
        <v>4</v>
      </c>
      <c r="K318" s="2">
        <v>700</v>
      </c>
      <c r="L318" s="2">
        <v>5</v>
      </c>
      <c r="M318" s="2">
        <v>2660</v>
      </c>
      <c r="N318" s="23">
        <f>(Table1[[#This Row],[Profit (PKR)]]/Table1[[#This Row],[Total Revenue (PKR)]])</f>
        <v>0.24812030075187969</v>
      </c>
      <c r="O318" s="2">
        <v>500</v>
      </c>
      <c r="P318" s="2">
        <v>2000</v>
      </c>
      <c r="Q318" s="2">
        <v>660</v>
      </c>
      <c r="R318" s="2" t="s">
        <v>42</v>
      </c>
      <c r="S318" s="2" t="str">
        <f>IF(AND(Table1[[#This Row],[Total Revenue (PKR)]]&gt;50000, Table1[[#This Row],[Discount %]]&lt;10),"High Value","Standard")</f>
        <v>Standard</v>
      </c>
      <c r="T318" s="2" t="s">
        <v>23</v>
      </c>
      <c r="U318" s="6" t="s">
        <v>44</v>
      </c>
      <c r="V318" s="19" t="s">
        <v>111</v>
      </c>
    </row>
    <row r="319" spans="1:22" x14ac:dyDescent="0.25">
      <c r="A319" s="5" t="s">
        <v>589</v>
      </c>
      <c r="B319" s="16">
        <f>DATEVALUE(Table1[[#This Row],[Date2]])</f>
        <v>45562</v>
      </c>
      <c r="C319" s="3" t="str">
        <f>TEXT(Table1[[#This Row],[Date]],"MMM")</f>
        <v>Sep</v>
      </c>
      <c r="D319" s="3" t="str">
        <f>"Q"&amp;ROUNDUP(MONTH(Table1[[#This Row],[Date]])/3,0)</f>
        <v>Q3</v>
      </c>
      <c r="E319" s="3">
        <f>YEAR(Table1[[#This Row],[Date]])</f>
        <v>2024</v>
      </c>
      <c r="F319" s="3" t="s">
        <v>104</v>
      </c>
      <c r="G319" s="3" t="s">
        <v>52</v>
      </c>
      <c r="H319" s="3" t="s">
        <v>20</v>
      </c>
      <c r="I319" s="3" t="s">
        <v>21</v>
      </c>
      <c r="J319" s="3">
        <v>13</v>
      </c>
      <c r="K319" s="3">
        <v>3500</v>
      </c>
      <c r="L319" s="3">
        <v>20</v>
      </c>
      <c r="M319" s="3">
        <v>36400</v>
      </c>
      <c r="N319" s="24">
        <f>(Table1[[#This Row],[Profit (PKR)]]/Table1[[#This Row],[Total Revenue (PKR)]])</f>
        <v>0.2857142857142857</v>
      </c>
      <c r="O319" s="3">
        <v>2000</v>
      </c>
      <c r="P319" s="3">
        <v>26000</v>
      </c>
      <c r="Q319" s="3">
        <v>10400</v>
      </c>
      <c r="R319" s="3" t="s">
        <v>42</v>
      </c>
      <c r="S319" s="3" t="str">
        <f>IF(AND(Table1[[#This Row],[Total Revenue (PKR)]]&gt;50000, Table1[[#This Row],[Discount %]]&lt;10),"High Value","Standard")</f>
        <v>Standard</v>
      </c>
      <c r="T319" s="3" t="s">
        <v>55</v>
      </c>
      <c r="U319" s="7" t="s">
        <v>44</v>
      </c>
      <c r="V319" s="20" t="s">
        <v>590</v>
      </c>
    </row>
    <row r="320" spans="1:22" x14ac:dyDescent="0.25">
      <c r="A320" s="4" t="s">
        <v>591</v>
      </c>
      <c r="B320" s="15">
        <f>DATEVALUE(Table1[[#This Row],[Date2]])</f>
        <v>45380</v>
      </c>
      <c r="C320" s="2" t="str">
        <f>TEXT(Table1[[#This Row],[Date]],"MMM")</f>
        <v>Mar</v>
      </c>
      <c r="D320" s="2" t="str">
        <f>"Q"&amp;ROUNDUP(MONTH(Table1[[#This Row],[Date]])/3,0)</f>
        <v>Q1</v>
      </c>
      <c r="E320" s="2">
        <f>YEAR(Table1[[#This Row],[Date]])</f>
        <v>2024</v>
      </c>
      <c r="F320" s="2" t="s">
        <v>122</v>
      </c>
      <c r="G320" s="2" t="s">
        <v>159</v>
      </c>
      <c r="H320" s="2" t="s">
        <v>28</v>
      </c>
      <c r="I320" s="2" t="s">
        <v>127</v>
      </c>
      <c r="J320" s="2">
        <v>3</v>
      </c>
      <c r="K320" s="2">
        <v>15000</v>
      </c>
      <c r="L320" s="2">
        <v>0</v>
      </c>
      <c r="M320" s="2">
        <v>45000</v>
      </c>
      <c r="N320" s="23">
        <f>(Table1[[#This Row],[Profit (PKR)]]/Table1[[#This Row],[Total Revenue (PKR)]])</f>
        <v>0.33333333333333331</v>
      </c>
      <c r="O320" s="2">
        <v>10000</v>
      </c>
      <c r="P320" s="2">
        <v>30000</v>
      </c>
      <c r="Q320" s="2">
        <v>15000</v>
      </c>
      <c r="R320" s="2" t="s">
        <v>42</v>
      </c>
      <c r="S320" s="2" t="str">
        <f>IF(AND(Table1[[#This Row],[Total Revenue (PKR)]]&gt;50000, Table1[[#This Row],[Discount %]]&lt;10),"High Value","Standard")</f>
        <v>Standard</v>
      </c>
      <c r="T320" s="2" t="s">
        <v>36</v>
      </c>
      <c r="U320" s="6" t="s">
        <v>44</v>
      </c>
      <c r="V320" s="19" t="s">
        <v>342</v>
      </c>
    </row>
    <row r="321" spans="1:22" x14ac:dyDescent="0.25">
      <c r="A321" s="5" t="s">
        <v>592</v>
      </c>
      <c r="B321" s="16">
        <f>DATEVALUE(Table1[[#This Row],[Date2]])</f>
        <v>45322</v>
      </c>
      <c r="C321" s="3" t="str">
        <f>TEXT(Table1[[#This Row],[Date]],"MMM")</f>
        <v>Jan</v>
      </c>
      <c r="D321" s="3" t="str">
        <f>"Q"&amp;ROUNDUP(MONTH(Table1[[#This Row],[Date]])/3,0)</f>
        <v>Q1</v>
      </c>
      <c r="E321" s="3">
        <f>YEAR(Table1[[#This Row],[Date]])</f>
        <v>2024</v>
      </c>
      <c r="F321" s="3" t="s">
        <v>77</v>
      </c>
      <c r="G321" s="3" t="s">
        <v>48</v>
      </c>
      <c r="H321" s="3" t="s">
        <v>53</v>
      </c>
      <c r="I321" s="3" t="s">
        <v>71</v>
      </c>
      <c r="J321" s="3">
        <v>14</v>
      </c>
      <c r="K321" s="3">
        <v>8000</v>
      </c>
      <c r="L321" s="3">
        <v>25</v>
      </c>
      <c r="M321" s="3">
        <v>84000</v>
      </c>
      <c r="N321" s="24">
        <f>(Table1[[#This Row],[Profit (PKR)]]/Table1[[#This Row],[Total Revenue (PKR)]])</f>
        <v>0.16666666666666666</v>
      </c>
      <c r="O321" s="3">
        <v>5000</v>
      </c>
      <c r="P321" s="3">
        <v>70000</v>
      </c>
      <c r="Q321" s="3">
        <v>14000</v>
      </c>
      <c r="R321" s="3" t="s">
        <v>42</v>
      </c>
      <c r="S321" s="3" t="str">
        <f>IF(AND(Table1[[#This Row],[Total Revenue (PKR)]]&gt;50000, Table1[[#This Row],[Discount %]]&lt;10),"High Value","Standard")</f>
        <v>Standard</v>
      </c>
      <c r="T321" s="3" t="s">
        <v>43</v>
      </c>
      <c r="U321" s="7" t="s">
        <v>24</v>
      </c>
      <c r="V321" s="20" t="s">
        <v>593</v>
      </c>
    </row>
    <row r="322" spans="1:22" x14ac:dyDescent="0.25">
      <c r="A322" s="4" t="s">
        <v>594</v>
      </c>
      <c r="B322" s="15">
        <f>DATEVALUE(Table1[[#This Row],[Date2]])</f>
        <v>45567</v>
      </c>
      <c r="C322" s="2" t="str">
        <f>TEXT(Table1[[#This Row],[Date]],"MMM")</f>
        <v>Oct</v>
      </c>
      <c r="D322" s="2" t="str">
        <f>"Q"&amp;ROUNDUP(MONTH(Table1[[#This Row],[Date]])/3,0)</f>
        <v>Q4</v>
      </c>
      <c r="E322" s="2">
        <f>YEAR(Table1[[#This Row],[Date]])</f>
        <v>2024</v>
      </c>
      <c r="F322" s="2" t="s">
        <v>47</v>
      </c>
      <c r="G322" s="2" t="s">
        <v>40</v>
      </c>
      <c r="H322" s="2" t="s">
        <v>20</v>
      </c>
      <c r="I322" s="2" t="s">
        <v>65</v>
      </c>
      <c r="J322" s="2">
        <v>10</v>
      </c>
      <c r="K322" s="2">
        <v>18000</v>
      </c>
      <c r="L322" s="2">
        <v>0</v>
      </c>
      <c r="M322" s="2">
        <v>180000</v>
      </c>
      <c r="N322" s="23">
        <f>(Table1[[#This Row],[Profit (PKR)]]/Table1[[#This Row],[Total Revenue (PKR)]])</f>
        <v>0.33333333333333331</v>
      </c>
      <c r="O322" s="2">
        <v>12000</v>
      </c>
      <c r="P322" s="2">
        <v>120000</v>
      </c>
      <c r="Q322" s="2">
        <v>60000</v>
      </c>
      <c r="R322" s="2" t="s">
        <v>22</v>
      </c>
      <c r="S322" s="2" t="str">
        <f>IF(AND(Table1[[#This Row],[Total Revenue (PKR)]]&gt;50000, Table1[[#This Row],[Discount %]]&lt;10),"High Value","Standard")</f>
        <v>High Value</v>
      </c>
      <c r="T322" s="2" t="s">
        <v>36</v>
      </c>
      <c r="U322" s="6" t="s">
        <v>44</v>
      </c>
      <c r="V322" s="19" t="s">
        <v>568</v>
      </c>
    </row>
    <row r="323" spans="1:22" x14ac:dyDescent="0.25">
      <c r="A323" s="5" t="s">
        <v>595</v>
      </c>
      <c r="B323" s="16">
        <f>DATEVALUE(Table1[[#This Row],[Date2]])</f>
        <v>45492</v>
      </c>
      <c r="C323" s="3" t="str">
        <f>TEXT(Table1[[#This Row],[Date]],"MMM")</f>
        <v>Jul</v>
      </c>
      <c r="D323" s="3" t="str">
        <f>"Q"&amp;ROUNDUP(MONTH(Table1[[#This Row],[Date]])/3,0)</f>
        <v>Q3</v>
      </c>
      <c r="E323" s="3">
        <f>YEAR(Table1[[#This Row],[Date]])</f>
        <v>2024</v>
      </c>
      <c r="F323" s="3" t="s">
        <v>47</v>
      </c>
      <c r="G323" s="3" t="s">
        <v>159</v>
      </c>
      <c r="H323" s="3" t="s">
        <v>20</v>
      </c>
      <c r="I323" s="3" t="s">
        <v>59</v>
      </c>
      <c r="J323" s="3">
        <v>8</v>
      </c>
      <c r="K323" s="3">
        <v>12000</v>
      </c>
      <c r="L323" s="3">
        <v>0</v>
      </c>
      <c r="M323" s="3">
        <v>96000</v>
      </c>
      <c r="N323" s="24">
        <f>(Table1[[#This Row],[Profit (PKR)]]/Table1[[#This Row],[Total Revenue (PKR)]])</f>
        <v>0.33333333333333331</v>
      </c>
      <c r="O323" s="3">
        <v>8000</v>
      </c>
      <c r="P323" s="3">
        <v>64000</v>
      </c>
      <c r="Q323" s="3">
        <v>32000</v>
      </c>
      <c r="R323" s="3" t="s">
        <v>22</v>
      </c>
      <c r="S323" s="3" t="str">
        <f>IF(AND(Table1[[#This Row],[Total Revenue (PKR)]]&gt;50000, Table1[[#This Row],[Discount %]]&lt;10),"High Value","Standard")</f>
        <v>High Value</v>
      </c>
      <c r="T323" s="3" t="s">
        <v>43</v>
      </c>
      <c r="U323" s="7" t="s">
        <v>95</v>
      </c>
      <c r="V323" s="20" t="s">
        <v>596</v>
      </c>
    </row>
    <row r="324" spans="1:22" x14ac:dyDescent="0.25">
      <c r="A324" s="4" t="s">
        <v>597</v>
      </c>
      <c r="B324" s="15">
        <f>DATEVALUE(Table1[[#This Row],[Date2]])</f>
        <v>45351</v>
      </c>
      <c r="C324" s="2" t="str">
        <f>TEXT(Table1[[#This Row],[Date]],"MMM")</f>
        <v>Feb</v>
      </c>
      <c r="D324" s="2" t="str">
        <f>"Q"&amp;ROUNDUP(MONTH(Table1[[#This Row],[Date]])/3,0)</f>
        <v>Q1</v>
      </c>
      <c r="E324" s="2">
        <f>YEAR(Table1[[#This Row],[Date]])</f>
        <v>2024</v>
      </c>
      <c r="F324" s="2" t="s">
        <v>122</v>
      </c>
      <c r="G324" s="2" t="s">
        <v>19</v>
      </c>
      <c r="H324" s="2" t="s">
        <v>20</v>
      </c>
      <c r="I324" s="2" t="s">
        <v>21</v>
      </c>
      <c r="J324" s="2">
        <v>4</v>
      </c>
      <c r="K324" s="2">
        <v>3500</v>
      </c>
      <c r="L324" s="2">
        <v>0</v>
      </c>
      <c r="M324" s="2">
        <v>14000</v>
      </c>
      <c r="N324" s="23">
        <f>(Table1[[#This Row],[Profit (PKR)]]/Table1[[#This Row],[Total Revenue (PKR)]])</f>
        <v>0.42857142857142855</v>
      </c>
      <c r="O324" s="2">
        <v>2000</v>
      </c>
      <c r="P324" s="2">
        <v>8000</v>
      </c>
      <c r="Q324" s="2">
        <v>6000</v>
      </c>
      <c r="R324" s="2" t="s">
        <v>22</v>
      </c>
      <c r="S324" s="2" t="str">
        <f>IF(AND(Table1[[#This Row],[Total Revenue (PKR)]]&gt;50000, Table1[[#This Row],[Discount %]]&lt;10),"High Value","Standard")</f>
        <v>Standard</v>
      </c>
      <c r="T324" s="2" t="s">
        <v>23</v>
      </c>
      <c r="U324" s="6" t="s">
        <v>44</v>
      </c>
      <c r="V324" s="19" t="s">
        <v>248</v>
      </c>
    </row>
    <row r="325" spans="1:22" x14ac:dyDescent="0.25">
      <c r="A325" s="5" t="s">
        <v>598</v>
      </c>
      <c r="B325" s="16">
        <f>DATEVALUE(Table1[[#This Row],[Date2]])</f>
        <v>45546</v>
      </c>
      <c r="C325" s="3" t="str">
        <f>TEXT(Table1[[#This Row],[Date]],"MMM")</f>
        <v>Sep</v>
      </c>
      <c r="D325" s="3" t="str">
        <f>"Q"&amp;ROUNDUP(MONTH(Table1[[#This Row],[Date]])/3,0)</f>
        <v>Q3</v>
      </c>
      <c r="E325" s="3">
        <f>YEAR(Table1[[#This Row],[Date]])</f>
        <v>2024</v>
      </c>
      <c r="F325" s="3" t="s">
        <v>100</v>
      </c>
      <c r="G325" s="3" t="s">
        <v>48</v>
      </c>
      <c r="H325" s="3" t="s">
        <v>34</v>
      </c>
      <c r="I325" s="3" t="s">
        <v>41</v>
      </c>
      <c r="J325" s="3">
        <v>5</v>
      </c>
      <c r="K325" s="3">
        <v>3000</v>
      </c>
      <c r="L325" s="3">
        <v>25</v>
      </c>
      <c r="M325" s="3">
        <v>11250</v>
      </c>
      <c r="N325" s="24">
        <f>(Table1[[#This Row],[Profit (PKR)]]/Table1[[#This Row],[Total Revenue (PKR)]])</f>
        <v>0.33333333333333331</v>
      </c>
      <c r="O325" s="3">
        <v>1500</v>
      </c>
      <c r="P325" s="3">
        <v>7500</v>
      </c>
      <c r="Q325" s="3">
        <v>3750</v>
      </c>
      <c r="R325" s="3" t="s">
        <v>42</v>
      </c>
      <c r="S325" s="3" t="str">
        <f>IF(AND(Table1[[#This Row],[Total Revenue (PKR)]]&gt;50000, Table1[[#This Row],[Discount %]]&lt;10),"High Value","Standard")</f>
        <v>Standard</v>
      </c>
      <c r="T325" s="3" t="s">
        <v>23</v>
      </c>
      <c r="U325" s="7" t="s">
        <v>86</v>
      </c>
      <c r="V325" s="20" t="s">
        <v>277</v>
      </c>
    </row>
    <row r="326" spans="1:22" x14ac:dyDescent="0.25">
      <c r="A326" s="4" t="s">
        <v>599</v>
      </c>
      <c r="B326" s="15">
        <f>DATEVALUE(Table1[[#This Row],[Date2]])</f>
        <v>45307</v>
      </c>
      <c r="C326" s="2" t="str">
        <f>TEXT(Table1[[#This Row],[Date]],"MMM")</f>
        <v>Jan</v>
      </c>
      <c r="D326" s="2" t="str">
        <f>"Q"&amp;ROUNDUP(MONTH(Table1[[#This Row],[Date]])/3,0)</f>
        <v>Q1</v>
      </c>
      <c r="E326" s="2">
        <f>YEAR(Table1[[#This Row],[Date]])</f>
        <v>2024</v>
      </c>
      <c r="F326" s="2" t="s">
        <v>100</v>
      </c>
      <c r="G326" s="2" t="s">
        <v>27</v>
      </c>
      <c r="H326" s="2" t="s">
        <v>20</v>
      </c>
      <c r="I326" s="2" t="s">
        <v>137</v>
      </c>
      <c r="J326" s="2">
        <v>3</v>
      </c>
      <c r="K326" s="2">
        <v>15000</v>
      </c>
      <c r="L326" s="2">
        <v>10</v>
      </c>
      <c r="M326" s="2">
        <v>40500</v>
      </c>
      <c r="N326" s="23">
        <f>(Table1[[#This Row],[Profit (PKR)]]/Table1[[#This Row],[Total Revenue (PKR)]])</f>
        <v>0.25925925925925924</v>
      </c>
      <c r="O326" s="2">
        <v>10000</v>
      </c>
      <c r="P326" s="2">
        <v>30000</v>
      </c>
      <c r="Q326" s="2">
        <v>10500</v>
      </c>
      <c r="R326" s="2" t="s">
        <v>22</v>
      </c>
      <c r="S326" s="2" t="str">
        <f>IF(AND(Table1[[#This Row],[Total Revenue (PKR)]]&gt;50000, Table1[[#This Row],[Discount %]]&lt;10),"High Value","Standard")</f>
        <v>Standard</v>
      </c>
      <c r="T326" s="2" t="s">
        <v>66</v>
      </c>
      <c r="U326" s="6" t="s">
        <v>44</v>
      </c>
      <c r="V326" s="19" t="s">
        <v>600</v>
      </c>
    </row>
    <row r="327" spans="1:22" x14ac:dyDescent="0.25">
      <c r="A327" s="5" t="s">
        <v>601</v>
      </c>
      <c r="B327" s="16">
        <f>DATEVALUE(Table1[[#This Row],[Date2]])</f>
        <v>45476</v>
      </c>
      <c r="C327" s="3" t="str">
        <f>TEXT(Table1[[#This Row],[Date]],"MMM")</f>
        <v>Jul</v>
      </c>
      <c r="D327" s="3" t="str">
        <f>"Q"&amp;ROUNDUP(MONTH(Table1[[#This Row],[Date]])/3,0)</f>
        <v>Q3</v>
      </c>
      <c r="E327" s="3">
        <f>YEAR(Table1[[#This Row],[Date]])</f>
        <v>2024</v>
      </c>
      <c r="F327" s="3" t="s">
        <v>104</v>
      </c>
      <c r="G327" s="3" t="s">
        <v>74</v>
      </c>
      <c r="H327" s="3" t="s">
        <v>53</v>
      </c>
      <c r="I327" s="3" t="s">
        <v>54</v>
      </c>
      <c r="J327" s="3">
        <v>12</v>
      </c>
      <c r="K327" s="3">
        <v>2000</v>
      </c>
      <c r="L327" s="3">
        <v>5</v>
      </c>
      <c r="M327" s="3">
        <v>22800</v>
      </c>
      <c r="N327" s="24">
        <f>(Table1[[#This Row],[Profit (PKR)]]/Table1[[#This Row],[Total Revenue (PKR)]])</f>
        <v>0.36842105263157893</v>
      </c>
      <c r="O327" s="3">
        <v>1200</v>
      </c>
      <c r="P327" s="3">
        <v>14400</v>
      </c>
      <c r="Q327" s="3">
        <v>8400</v>
      </c>
      <c r="R327" s="3" t="s">
        <v>42</v>
      </c>
      <c r="S327" s="3" t="str">
        <f>IF(AND(Table1[[#This Row],[Total Revenue (PKR)]]&gt;50000, Table1[[#This Row],[Discount %]]&lt;10),"High Value","Standard")</f>
        <v>Standard</v>
      </c>
      <c r="T327" s="3" t="s">
        <v>43</v>
      </c>
      <c r="U327" s="7" t="s">
        <v>86</v>
      </c>
      <c r="V327" s="20" t="s">
        <v>602</v>
      </c>
    </row>
    <row r="328" spans="1:22" x14ac:dyDescent="0.25">
      <c r="A328" s="4" t="s">
        <v>603</v>
      </c>
      <c r="B328" s="15">
        <f>DATEVALUE(Table1[[#This Row],[Date2]])</f>
        <v>45637</v>
      </c>
      <c r="C328" s="2" t="str">
        <f>TEXT(Table1[[#This Row],[Date]],"MMM")</f>
        <v>Dec</v>
      </c>
      <c r="D328" s="2" t="str">
        <f>"Q"&amp;ROUNDUP(MONTH(Table1[[#This Row],[Date]])/3,0)</f>
        <v>Q4</v>
      </c>
      <c r="E328" s="2">
        <f>YEAR(Table1[[#This Row],[Date]])</f>
        <v>2024</v>
      </c>
      <c r="F328" s="2" t="s">
        <v>18</v>
      </c>
      <c r="G328" s="2" t="s">
        <v>64</v>
      </c>
      <c r="H328" s="2" t="s">
        <v>53</v>
      </c>
      <c r="I328" s="2" t="s">
        <v>82</v>
      </c>
      <c r="J328" s="2">
        <v>2</v>
      </c>
      <c r="K328" s="2">
        <v>4000</v>
      </c>
      <c r="L328" s="2">
        <v>0</v>
      </c>
      <c r="M328" s="2">
        <v>8000</v>
      </c>
      <c r="N328" s="23">
        <f>(Table1[[#This Row],[Profit (PKR)]]/Table1[[#This Row],[Total Revenue (PKR)]])</f>
        <v>0.375</v>
      </c>
      <c r="O328" s="2">
        <v>2500</v>
      </c>
      <c r="P328" s="2">
        <v>5000</v>
      </c>
      <c r="Q328" s="2">
        <v>3000</v>
      </c>
      <c r="R328" s="2" t="s">
        <v>22</v>
      </c>
      <c r="S328" s="2" t="str">
        <f>IF(AND(Table1[[#This Row],[Total Revenue (PKR)]]&gt;50000, Table1[[#This Row],[Discount %]]&lt;10),"High Value","Standard")</f>
        <v>Standard</v>
      </c>
      <c r="T328" s="2" t="s">
        <v>43</v>
      </c>
      <c r="U328" s="6" t="s">
        <v>44</v>
      </c>
      <c r="V328" s="19" t="s">
        <v>604</v>
      </c>
    </row>
    <row r="329" spans="1:22" x14ac:dyDescent="0.25">
      <c r="A329" s="5" t="s">
        <v>605</v>
      </c>
      <c r="B329" s="16">
        <f>DATEVALUE(Table1[[#This Row],[Date2]])</f>
        <v>45488</v>
      </c>
      <c r="C329" s="3" t="str">
        <f>TEXT(Table1[[#This Row],[Date]],"MMM")</f>
        <v>Jul</v>
      </c>
      <c r="D329" s="3" t="str">
        <f>"Q"&amp;ROUNDUP(MONTH(Table1[[#This Row],[Date]])/3,0)</f>
        <v>Q3</v>
      </c>
      <c r="E329" s="3">
        <f>YEAR(Table1[[#This Row],[Date]])</f>
        <v>2024</v>
      </c>
      <c r="F329" s="3" t="s">
        <v>92</v>
      </c>
      <c r="G329" s="3" t="s">
        <v>40</v>
      </c>
      <c r="H329" s="3" t="s">
        <v>28</v>
      </c>
      <c r="I329" s="3" t="s">
        <v>127</v>
      </c>
      <c r="J329" s="3">
        <v>14</v>
      </c>
      <c r="K329" s="3">
        <v>15000</v>
      </c>
      <c r="L329" s="3">
        <v>5</v>
      </c>
      <c r="M329" s="3">
        <v>199500</v>
      </c>
      <c r="N329" s="24">
        <f>(Table1[[#This Row],[Profit (PKR)]]/Table1[[#This Row],[Total Revenue (PKR)]])</f>
        <v>0.2982456140350877</v>
      </c>
      <c r="O329" s="3">
        <v>10000</v>
      </c>
      <c r="P329" s="3">
        <v>140000</v>
      </c>
      <c r="Q329" s="3">
        <v>59500</v>
      </c>
      <c r="R329" s="3" t="s">
        <v>42</v>
      </c>
      <c r="S329" s="3" t="str">
        <f>IF(AND(Table1[[#This Row],[Total Revenue (PKR)]]&gt;50000, Table1[[#This Row],[Discount %]]&lt;10),"High Value","Standard")</f>
        <v>High Value</v>
      </c>
      <c r="T329" s="3" t="s">
        <v>36</v>
      </c>
      <c r="U329" s="7" t="s">
        <v>44</v>
      </c>
      <c r="V329" s="20" t="s">
        <v>556</v>
      </c>
    </row>
    <row r="330" spans="1:22" x14ac:dyDescent="0.25">
      <c r="A330" s="4" t="s">
        <v>606</v>
      </c>
      <c r="B330" s="15">
        <f>DATEVALUE(Table1[[#This Row],[Date2]])</f>
        <v>45455</v>
      </c>
      <c r="C330" s="2" t="str">
        <f>TEXT(Table1[[#This Row],[Date]],"MMM")</f>
        <v>Jun</v>
      </c>
      <c r="D330" s="2" t="str">
        <f>"Q"&amp;ROUNDUP(MONTH(Table1[[#This Row],[Date]])/3,0)</f>
        <v>Q2</v>
      </c>
      <c r="E330" s="2">
        <f>YEAR(Table1[[#This Row],[Date]])</f>
        <v>2024</v>
      </c>
      <c r="F330" s="2" t="s">
        <v>39</v>
      </c>
      <c r="G330" s="2" t="s">
        <v>159</v>
      </c>
      <c r="H330" s="2" t="s">
        <v>53</v>
      </c>
      <c r="I330" s="2" t="s">
        <v>85</v>
      </c>
      <c r="J330" s="2">
        <v>4</v>
      </c>
      <c r="K330" s="2">
        <v>1500</v>
      </c>
      <c r="L330" s="2">
        <v>20</v>
      </c>
      <c r="M330" s="2">
        <v>4800</v>
      </c>
      <c r="N330" s="23">
        <f>(Table1[[#This Row],[Profit (PKR)]]/Table1[[#This Row],[Total Revenue (PKR)]])</f>
        <v>0.33333333333333331</v>
      </c>
      <c r="O330" s="2">
        <v>800</v>
      </c>
      <c r="P330" s="2">
        <v>3200</v>
      </c>
      <c r="Q330" s="2">
        <v>1600</v>
      </c>
      <c r="R330" s="2" t="s">
        <v>22</v>
      </c>
      <c r="S330" s="2" t="str">
        <f>IF(AND(Table1[[#This Row],[Total Revenue (PKR)]]&gt;50000, Table1[[#This Row],[Discount %]]&lt;10),"High Value","Standard")</f>
        <v>Standard</v>
      </c>
      <c r="T330" s="2" t="s">
        <v>36</v>
      </c>
      <c r="U330" s="6" t="s">
        <v>44</v>
      </c>
      <c r="V330" s="19" t="s">
        <v>497</v>
      </c>
    </row>
    <row r="331" spans="1:22" x14ac:dyDescent="0.25">
      <c r="A331" s="5" t="s">
        <v>607</v>
      </c>
      <c r="B331" s="16">
        <f>DATEVALUE(Table1[[#This Row],[Date2]])</f>
        <v>45556</v>
      </c>
      <c r="C331" s="3" t="str">
        <f>TEXT(Table1[[#This Row],[Date]],"MMM")</f>
        <v>Sep</v>
      </c>
      <c r="D331" s="3" t="str">
        <f>"Q"&amp;ROUNDUP(MONTH(Table1[[#This Row],[Date]])/3,0)</f>
        <v>Q3</v>
      </c>
      <c r="E331" s="3">
        <f>YEAR(Table1[[#This Row],[Date]])</f>
        <v>2024</v>
      </c>
      <c r="F331" s="3" t="s">
        <v>104</v>
      </c>
      <c r="G331" s="3" t="s">
        <v>27</v>
      </c>
      <c r="H331" s="3" t="s">
        <v>28</v>
      </c>
      <c r="I331" s="3" t="s">
        <v>49</v>
      </c>
      <c r="J331" s="3">
        <v>10</v>
      </c>
      <c r="K331" s="3">
        <v>5000</v>
      </c>
      <c r="L331" s="3">
        <v>10</v>
      </c>
      <c r="M331" s="3">
        <v>45000</v>
      </c>
      <c r="N331" s="24">
        <f>(Table1[[#This Row],[Profit (PKR)]]/Table1[[#This Row],[Total Revenue (PKR)]])</f>
        <v>0.33333333333333331</v>
      </c>
      <c r="O331" s="3">
        <v>3000</v>
      </c>
      <c r="P331" s="3">
        <v>30000</v>
      </c>
      <c r="Q331" s="3">
        <v>15000</v>
      </c>
      <c r="R331" s="3" t="s">
        <v>42</v>
      </c>
      <c r="S331" s="3" t="str">
        <f>IF(AND(Table1[[#This Row],[Total Revenue (PKR)]]&gt;50000, Table1[[#This Row],[Discount %]]&lt;10),"High Value","Standard")</f>
        <v>Standard</v>
      </c>
      <c r="T331" s="3" t="s">
        <v>43</v>
      </c>
      <c r="U331" s="7" t="s">
        <v>44</v>
      </c>
      <c r="V331" s="20" t="s">
        <v>608</v>
      </c>
    </row>
    <row r="332" spans="1:22" x14ac:dyDescent="0.25">
      <c r="A332" s="4" t="s">
        <v>609</v>
      </c>
      <c r="B332" s="15">
        <f>DATEVALUE(Table1[[#This Row],[Date2]])</f>
        <v>45296</v>
      </c>
      <c r="C332" s="2" t="str">
        <f>TEXT(Table1[[#This Row],[Date]],"MMM")</f>
        <v>Jan</v>
      </c>
      <c r="D332" s="2" t="str">
        <f>"Q"&amp;ROUNDUP(MONTH(Table1[[#This Row],[Date]])/3,0)</f>
        <v>Q1</v>
      </c>
      <c r="E332" s="2">
        <f>YEAR(Table1[[#This Row],[Date]])</f>
        <v>2024</v>
      </c>
      <c r="F332" s="2" t="s">
        <v>100</v>
      </c>
      <c r="G332" s="2" t="s">
        <v>64</v>
      </c>
      <c r="H332" s="2" t="s">
        <v>20</v>
      </c>
      <c r="I332" s="2" t="s">
        <v>137</v>
      </c>
      <c r="J332" s="2">
        <v>10</v>
      </c>
      <c r="K332" s="2">
        <v>15000</v>
      </c>
      <c r="L332" s="2">
        <v>25</v>
      </c>
      <c r="M332" s="2">
        <v>112500</v>
      </c>
      <c r="N332" s="23">
        <f>(Table1[[#This Row],[Profit (PKR)]]/Table1[[#This Row],[Total Revenue (PKR)]])</f>
        <v>0.1111111111111111</v>
      </c>
      <c r="O332" s="2">
        <v>10000</v>
      </c>
      <c r="P332" s="2">
        <v>100000</v>
      </c>
      <c r="Q332" s="2">
        <v>12500</v>
      </c>
      <c r="R332" s="2" t="s">
        <v>22</v>
      </c>
      <c r="S332" s="2" t="str">
        <f>IF(AND(Table1[[#This Row],[Total Revenue (PKR)]]&gt;50000, Table1[[#This Row],[Discount %]]&lt;10),"High Value","Standard")</f>
        <v>Standard</v>
      </c>
      <c r="T332" s="2" t="s">
        <v>66</v>
      </c>
      <c r="U332" s="6" t="s">
        <v>44</v>
      </c>
      <c r="V332" s="19" t="s">
        <v>610</v>
      </c>
    </row>
    <row r="333" spans="1:22" x14ac:dyDescent="0.25">
      <c r="A333" s="5" t="s">
        <v>611</v>
      </c>
      <c r="B333" s="16">
        <f>DATEVALUE(Table1[[#This Row],[Date2]])</f>
        <v>45544</v>
      </c>
      <c r="C333" s="3" t="str">
        <f>TEXT(Table1[[#This Row],[Date]],"MMM")</f>
        <v>Sep</v>
      </c>
      <c r="D333" s="3" t="str">
        <f>"Q"&amp;ROUNDUP(MONTH(Table1[[#This Row],[Date]])/3,0)</f>
        <v>Q3</v>
      </c>
      <c r="E333" s="3">
        <f>YEAR(Table1[[#This Row],[Date]])</f>
        <v>2024</v>
      </c>
      <c r="F333" s="3" t="s">
        <v>33</v>
      </c>
      <c r="G333" s="3" t="s">
        <v>64</v>
      </c>
      <c r="H333" s="3" t="s">
        <v>34</v>
      </c>
      <c r="I333" s="3" t="s">
        <v>196</v>
      </c>
      <c r="J333" s="3">
        <v>14</v>
      </c>
      <c r="K333" s="3">
        <v>2500</v>
      </c>
      <c r="L333" s="3">
        <v>0</v>
      </c>
      <c r="M333" s="3">
        <v>35000</v>
      </c>
      <c r="N333" s="24">
        <f>(Table1[[#This Row],[Profit (PKR)]]/Table1[[#This Row],[Total Revenue (PKR)]])</f>
        <v>0.52</v>
      </c>
      <c r="O333" s="3">
        <v>1200</v>
      </c>
      <c r="P333" s="3">
        <v>16800</v>
      </c>
      <c r="Q333" s="3">
        <v>18200</v>
      </c>
      <c r="R333" s="3" t="s">
        <v>22</v>
      </c>
      <c r="S333" s="3" t="str">
        <f>IF(AND(Table1[[#This Row],[Total Revenue (PKR)]]&gt;50000, Table1[[#This Row],[Discount %]]&lt;10),"High Value","Standard")</f>
        <v>Standard</v>
      </c>
      <c r="T333" s="3" t="s">
        <v>30</v>
      </c>
      <c r="U333" s="7" t="s">
        <v>44</v>
      </c>
      <c r="V333" s="20" t="s">
        <v>406</v>
      </c>
    </row>
    <row r="334" spans="1:22" x14ac:dyDescent="0.25">
      <c r="A334" s="4" t="s">
        <v>612</v>
      </c>
      <c r="B334" s="15">
        <f>DATEVALUE(Table1[[#This Row],[Date2]])</f>
        <v>45647</v>
      </c>
      <c r="C334" s="2" t="str">
        <f>TEXT(Table1[[#This Row],[Date]],"MMM")</f>
        <v>Dec</v>
      </c>
      <c r="D334" s="2" t="str">
        <f>"Q"&amp;ROUNDUP(MONTH(Table1[[#This Row],[Date]])/3,0)</f>
        <v>Q4</v>
      </c>
      <c r="E334" s="2">
        <f>YEAR(Table1[[#This Row],[Date]])</f>
        <v>2024</v>
      </c>
      <c r="F334" s="2" t="s">
        <v>104</v>
      </c>
      <c r="G334" s="2" t="s">
        <v>52</v>
      </c>
      <c r="H334" s="2" t="s">
        <v>28</v>
      </c>
      <c r="I334" s="2" t="s">
        <v>49</v>
      </c>
      <c r="J334" s="2">
        <v>10</v>
      </c>
      <c r="K334" s="2">
        <v>5000</v>
      </c>
      <c r="L334" s="2">
        <v>0</v>
      </c>
      <c r="M334" s="2">
        <v>50000</v>
      </c>
      <c r="N334" s="23">
        <f>(Table1[[#This Row],[Profit (PKR)]]/Table1[[#This Row],[Total Revenue (PKR)]])</f>
        <v>0.4</v>
      </c>
      <c r="O334" s="2">
        <v>3000</v>
      </c>
      <c r="P334" s="2">
        <v>30000</v>
      </c>
      <c r="Q334" s="2">
        <v>20000</v>
      </c>
      <c r="R334" s="2" t="s">
        <v>22</v>
      </c>
      <c r="S334" s="2" t="str">
        <f>IF(AND(Table1[[#This Row],[Total Revenue (PKR)]]&gt;50000, Table1[[#This Row],[Discount %]]&lt;10),"High Value","Standard")</f>
        <v>Standard</v>
      </c>
      <c r="T334" s="2" t="s">
        <v>30</v>
      </c>
      <c r="U334" s="6" t="s">
        <v>56</v>
      </c>
      <c r="V334" s="19" t="s">
        <v>184</v>
      </c>
    </row>
    <row r="335" spans="1:22" x14ac:dyDescent="0.25">
      <c r="A335" s="5" t="s">
        <v>613</v>
      </c>
      <c r="B335" s="16">
        <f>DATEVALUE(Table1[[#This Row],[Date2]])</f>
        <v>45506</v>
      </c>
      <c r="C335" s="3" t="str">
        <f>TEXT(Table1[[#This Row],[Date]],"MMM")</f>
        <v>Aug</v>
      </c>
      <c r="D335" s="3" t="str">
        <f>"Q"&amp;ROUNDUP(MONTH(Table1[[#This Row],[Date]])/3,0)</f>
        <v>Q3</v>
      </c>
      <c r="E335" s="3">
        <f>YEAR(Table1[[#This Row],[Date]])</f>
        <v>2024</v>
      </c>
      <c r="F335" s="3" t="s">
        <v>122</v>
      </c>
      <c r="G335" s="3" t="s">
        <v>19</v>
      </c>
      <c r="H335" s="3" t="s">
        <v>34</v>
      </c>
      <c r="I335" s="3" t="s">
        <v>41</v>
      </c>
      <c r="J335" s="3">
        <v>3</v>
      </c>
      <c r="K335" s="3">
        <v>3000</v>
      </c>
      <c r="L335" s="3">
        <v>0</v>
      </c>
      <c r="M335" s="3">
        <v>9000</v>
      </c>
      <c r="N335" s="24">
        <f>(Table1[[#This Row],[Profit (PKR)]]/Table1[[#This Row],[Total Revenue (PKR)]])</f>
        <v>0.5</v>
      </c>
      <c r="O335" s="3">
        <v>1500</v>
      </c>
      <c r="P335" s="3">
        <v>4500</v>
      </c>
      <c r="Q335" s="3">
        <v>4500</v>
      </c>
      <c r="R335" s="3" t="s">
        <v>22</v>
      </c>
      <c r="S335" s="3" t="str">
        <f>IF(AND(Table1[[#This Row],[Total Revenue (PKR)]]&gt;50000, Table1[[#This Row],[Discount %]]&lt;10),"High Value","Standard")</f>
        <v>Standard</v>
      </c>
      <c r="T335" s="3" t="s">
        <v>30</v>
      </c>
      <c r="U335" s="7" t="s">
        <v>44</v>
      </c>
      <c r="V335" s="20" t="s">
        <v>187</v>
      </c>
    </row>
    <row r="336" spans="1:22" x14ac:dyDescent="0.25">
      <c r="A336" s="4" t="s">
        <v>614</v>
      </c>
      <c r="B336" s="15">
        <f>DATEVALUE(Table1[[#This Row],[Date2]])</f>
        <v>45482</v>
      </c>
      <c r="C336" s="2" t="str">
        <f>TEXT(Table1[[#This Row],[Date]],"MMM")</f>
        <v>Jul</v>
      </c>
      <c r="D336" s="2" t="str">
        <f>"Q"&amp;ROUNDUP(MONTH(Table1[[#This Row],[Date]])/3,0)</f>
        <v>Q3</v>
      </c>
      <c r="E336" s="2">
        <f>YEAR(Table1[[#This Row],[Date]])</f>
        <v>2024</v>
      </c>
      <c r="F336" s="2" t="s">
        <v>122</v>
      </c>
      <c r="G336" s="2" t="s">
        <v>159</v>
      </c>
      <c r="H336" s="2" t="s">
        <v>53</v>
      </c>
      <c r="I336" s="2" t="s">
        <v>82</v>
      </c>
      <c r="J336" s="2">
        <v>17</v>
      </c>
      <c r="K336" s="2">
        <v>4000</v>
      </c>
      <c r="L336" s="2">
        <v>5</v>
      </c>
      <c r="M336" s="2">
        <v>64600</v>
      </c>
      <c r="N336" s="23">
        <f>(Table1[[#This Row],[Profit (PKR)]]/Table1[[#This Row],[Total Revenue (PKR)]])</f>
        <v>0.34210526315789475</v>
      </c>
      <c r="O336" s="2">
        <v>2500</v>
      </c>
      <c r="P336" s="2">
        <v>42500</v>
      </c>
      <c r="Q336" s="2">
        <v>22100</v>
      </c>
      <c r="R336" s="2" t="s">
        <v>42</v>
      </c>
      <c r="S336" s="2" t="str">
        <f>IF(AND(Table1[[#This Row],[Total Revenue (PKR)]]&gt;50000, Table1[[#This Row],[Discount %]]&lt;10),"High Value","Standard")</f>
        <v>High Value</v>
      </c>
      <c r="T336" s="2" t="s">
        <v>43</v>
      </c>
      <c r="U336" s="6" t="s">
        <v>44</v>
      </c>
      <c r="V336" s="19" t="s">
        <v>370</v>
      </c>
    </row>
    <row r="337" spans="1:22" x14ac:dyDescent="0.25">
      <c r="A337" s="5" t="s">
        <v>615</v>
      </c>
      <c r="B337" s="16">
        <f>DATEVALUE(Table1[[#This Row],[Date2]])</f>
        <v>45323</v>
      </c>
      <c r="C337" s="3" t="str">
        <f>TEXT(Table1[[#This Row],[Date]],"MMM")</f>
        <v>Feb</v>
      </c>
      <c r="D337" s="3" t="str">
        <f>"Q"&amp;ROUNDUP(MONTH(Table1[[#This Row],[Date]])/3,0)</f>
        <v>Q1</v>
      </c>
      <c r="E337" s="3">
        <f>YEAR(Table1[[#This Row],[Date]])</f>
        <v>2024</v>
      </c>
      <c r="F337" s="3" t="s">
        <v>77</v>
      </c>
      <c r="G337" s="3" t="s">
        <v>40</v>
      </c>
      <c r="H337" s="3" t="s">
        <v>34</v>
      </c>
      <c r="I337" s="3" t="s">
        <v>41</v>
      </c>
      <c r="J337" s="3">
        <v>9</v>
      </c>
      <c r="K337" s="3">
        <v>3000</v>
      </c>
      <c r="L337" s="3">
        <v>10</v>
      </c>
      <c r="M337" s="3">
        <v>24300</v>
      </c>
      <c r="N337" s="24">
        <f>(Table1[[#This Row],[Profit (PKR)]]/Table1[[#This Row],[Total Revenue (PKR)]])</f>
        <v>0.44444444444444442</v>
      </c>
      <c r="O337" s="3">
        <v>1500</v>
      </c>
      <c r="P337" s="3">
        <v>13500</v>
      </c>
      <c r="Q337" s="3">
        <v>10800</v>
      </c>
      <c r="R337" s="3" t="s">
        <v>42</v>
      </c>
      <c r="S337" s="3" t="str">
        <f>IF(AND(Table1[[#This Row],[Total Revenue (PKR)]]&gt;50000, Table1[[#This Row],[Discount %]]&lt;10),"High Value","Standard")</f>
        <v>Standard</v>
      </c>
      <c r="T337" s="3" t="s">
        <v>23</v>
      </c>
      <c r="U337" s="7" t="s">
        <v>86</v>
      </c>
      <c r="V337" s="20" t="s">
        <v>616</v>
      </c>
    </row>
    <row r="338" spans="1:22" x14ac:dyDescent="0.25">
      <c r="A338" s="4" t="s">
        <v>617</v>
      </c>
      <c r="B338" s="15">
        <f>DATEVALUE(Table1[[#This Row],[Date2]])</f>
        <v>45459</v>
      </c>
      <c r="C338" s="2" t="str">
        <f>TEXT(Table1[[#This Row],[Date]],"MMM")</f>
        <v>Jun</v>
      </c>
      <c r="D338" s="2" t="str">
        <f>"Q"&amp;ROUNDUP(MONTH(Table1[[#This Row],[Date]])/3,0)</f>
        <v>Q2</v>
      </c>
      <c r="E338" s="2">
        <f>YEAR(Table1[[#This Row],[Date]])</f>
        <v>2024</v>
      </c>
      <c r="F338" s="2" t="s">
        <v>100</v>
      </c>
      <c r="G338" s="2" t="s">
        <v>74</v>
      </c>
      <c r="H338" s="2" t="s">
        <v>20</v>
      </c>
      <c r="I338" s="2" t="s">
        <v>21</v>
      </c>
      <c r="J338" s="2">
        <v>3</v>
      </c>
      <c r="K338" s="2">
        <v>3500</v>
      </c>
      <c r="L338" s="2">
        <v>5</v>
      </c>
      <c r="M338" s="2">
        <v>9975</v>
      </c>
      <c r="N338" s="23">
        <f>(Table1[[#This Row],[Profit (PKR)]]/Table1[[#This Row],[Total Revenue (PKR)]])</f>
        <v>0.39849624060150374</v>
      </c>
      <c r="O338" s="2">
        <v>2000</v>
      </c>
      <c r="P338" s="2">
        <v>6000</v>
      </c>
      <c r="Q338" s="2">
        <v>3975</v>
      </c>
      <c r="R338" s="2" t="s">
        <v>22</v>
      </c>
      <c r="S338" s="2" t="str">
        <f>IF(AND(Table1[[#This Row],[Total Revenue (PKR)]]&gt;50000, Table1[[#This Row],[Discount %]]&lt;10),"High Value","Standard")</f>
        <v>Standard</v>
      </c>
      <c r="T338" s="2" t="s">
        <v>30</v>
      </c>
      <c r="U338" s="6" t="s">
        <v>44</v>
      </c>
      <c r="V338" s="19" t="s">
        <v>618</v>
      </c>
    </row>
    <row r="339" spans="1:22" x14ac:dyDescent="0.25">
      <c r="A339" s="5" t="s">
        <v>619</v>
      </c>
      <c r="B339" s="16">
        <f>DATEVALUE(Table1[[#This Row],[Date2]])</f>
        <v>45346</v>
      </c>
      <c r="C339" s="3" t="str">
        <f>TEXT(Table1[[#This Row],[Date]],"MMM")</f>
        <v>Feb</v>
      </c>
      <c r="D339" s="3" t="str">
        <f>"Q"&amp;ROUNDUP(MONTH(Table1[[#This Row],[Date]])/3,0)</f>
        <v>Q1</v>
      </c>
      <c r="E339" s="3">
        <f>YEAR(Table1[[#This Row],[Date]])</f>
        <v>2024</v>
      </c>
      <c r="F339" s="3" t="s">
        <v>92</v>
      </c>
      <c r="G339" s="3" t="s">
        <v>74</v>
      </c>
      <c r="H339" s="3" t="s">
        <v>93</v>
      </c>
      <c r="I339" s="3" t="s">
        <v>98</v>
      </c>
      <c r="J339" s="3">
        <v>14</v>
      </c>
      <c r="K339" s="3">
        <v>400</v>
      </c>
      <c r="L339" s="3">
        <v>0</v>
      </c>
      <c r="M339" s="3">
        <v>5600</v>
      </c>
      <c r="N339" s="24">
        <f>(Table1[[#This Row],[Profit (PKR)]]/Table1[[#This Row],[Total Revenue (PKR)]])</f>
        <v>0.3</v>
      </c>
      <c r="O339" s="3">
        <v>280</v>
      </c>
      <c r="P339" s="3">
        <v>3920</v>
      </c>
      <c r="Q339" s="3">
        <v>1680</v>
      </c>
      <c r="R339" s="3" t="s">
        <v>42</v>
      </c>
      <c r="S339" s="3" t="str">
        <f>IF(AND(Table1[[#This Row],[Total Revenue (PKR)]]&gt;50000, Table1[[#This Row],[Discount %]]&lt;10),"High Value","Standard")</f>
        <v>Standard</v>
      </c>
      <c r="T339" s="3" t="s">
        <v>36</v>
      </c>
      <c r="U339" s="7" t="s">
        <v>44</v>
      </c>
      <c r="V339" s="20" t="s">
        <v>175</v>
      </c>
    </row>
    <row r="340" spans="1:22" x14ac:dyDescent="0.25">
      <c r="A340" s="4" t="s">
        <v>620</v>
      </c>
      <c r="B340" s="15">
        <f>DATEVALUE(Table1[[#This Row],[Date2]])</f>
        <v>45529</v>
      </c>
      <c r="C340" s="2" t="str">
        <f>TEXT(Table1[[#This Row],[Date]],"MMM")</f>
        <v>Aug</v>
      </c>
      <c r="D340" s="2" t="str">
        <f>"Q"&amp;ROUNDUP(MONTH(Table1[[#This Row],[Date]])/3,0)</f>
        <v>Q3</v>
      </c>
      <c r="E340" s="2">
        <f>YEAR(Table1[[#This Row],[Date]])</f>
        <v>2024</v>
      </c>
      <c r="F340" s="2" t="s">
        <v>39</v>
      </c>
      <c r="G340" s="2" t="s">
        <v>159</v>
      </c>
      <c r="H340" s="2" t="s">
        <v>28</v>
      </c>
      <c r="I340" s="2" t="s">
        <v>116</v>
      </c>
      <c r="J340" s="2">
        <v>10</v>
      </c>
      <c r="K340" s="2">
        <v>85000</v>
      </c>
      <c r="L340" s="2">
        <v>25</v>
      </c>
      <c r="M340" s="2">
        <v>637500</v>
      </c>
      <c r="N340" s="23">
        <f>(Table1[[#This Row],[Profit (PKR)]]/Table1[[#This Row],[Total Revenue (PKR)]])</f>
        <v>-1.9607843137254902E-2</v>
      </c>
      <c r="O340" s="2">
        <v>65000</v>
      </c>
      <c r="P340" s="2">
        <v>650000</v>
      </c>
      <c r="Q340" s="2">
        <v>-12500</v>
      </c>
      <c r="R340" s="2" t="s">
        <v>22</v>
      </c>
      <c r="S340" s="2" t="str">
        <f>IF(AND(Table1[[#This Row],[Total Revenue (PKR)]]&gt;50000, Table1[[#This Row],[Discount %]]&lt;10),"High Value","Standard")</f>
        <v>Standard</v>
      </c>
      <c r="T340" s="2" t="s">
        <v>36</v>
      </c>
      <c r="U340" s="6" t="s">
        <v>86</v>
      </c>
      <c r="V340" s="19" t="s">
        <v>177</v>
      </c>
    </row>
    <row r="341" spans="1:22" x14ac:dyDescent="0.25">
      <c r="A341" s="5" t="s">
        <v>621</v>
      </c>
      <c r="B341" s="16">
        <f>DATEVALUE(Table1[[#This Row],[Date2]])</f>
        <v>45459</v>
      </c>
      <c r="C341" s="3" t="str">
        <f>TEXT(Table1[[#This Row],[Date]],"MMM")</f>
        <v>Jun</v>
      </c>
      <c r="D341" s="3" t="str">
        <f>"Q"&amp;ROUNDUP(MONTH(Table1[[#This Row],[Date]])/3,0)</f>
        <v>Q2</v>
      </c>
      <c r="E341" s="3">
        <f>YEAR(Table1[[#This Row],[Date]])</f>
        <v>2024</v>
      </c>
      <c r="F341" s="3" t="s">
        <v>92</v>
      </c>
      <c r="G341" s="3" t="s">
        <v>159</v>
      </c>
      <c r="H341" s="3" t="s">
        <v>34</v>
      </c>
      <c r="I341" s="3" t="s">
        <v>41</v>
      </c>
      <c r="J341" s="3">
        <v>13</v>
      </c>
      <c r="K341" s="3">
        <v>3000</v>
      </c>
      <c r="L341" s="3">
        <v>20</v>
      </c>
      <c r="M341" s="3">
        <v>31200</v>
      </c>
      <c r="N341" s="24">
        <f>(Table1[[#This Row],[Profit (PKR)]]/Table1[[#This Row],[Total Revenue (PKR)]])</f>
        <v>0.375</v>
      </c>
      <c r="O341" s="3">
        <v>1500</v>
      </c>
      <c r="P341" s="3">
        <v>19500</v>
      </c>
      <c r="Q341" s="3">
        <v>11700</v>
      </c>
      <c r="R341" s="3" t="s">
        <v>22</v>
      </c>
      <c r="S341" s="3" t="str">
        <f>IF(AND(Table1[[#This Row],[Total Revenue (PKR)]]&gt;50000, Table1[[#This Row],[Discount %]]&lt;10),"High Value","Standard")</f>
        <v>Standard</v>
      </c>
      <c r="T341" s="3" t="s">
        <v>23</v>
      </c>
      <c r="U341" s="7" t="s">
        <v>44</v>
      </c>
      <c r="V341" s="20" t="s">
        <v>618</v>
      </c>
    </row>
    <row r="342" spans="1:22" x14ac:dyDescent="0.25">
      <c r="A342" s="4" t="s">
        <v>622</v>
      </c>
      <c r="B342" s="15">
        <f>DATEVALUE(Table1[[#This Row],[Date2]])</f>
        <v>45381</v>
      </c>
      <c r="C342" s="2" t="str">
        <f>TEXT(Table1[[#This Row],[Date]],"MMM")</f>
        <v>Mar</v>
      </c>
      <c r="D342" s="2" t="str">
        <f>"Q"&amp;ROUNDUP(MONTH(Table1[[#This Row],[Date]])/3,0)</f>
        <v>Q1</v>
      </c>
      <c r="E342" s="2">
        <f>YEAR(Table1[[#This Row],[Date]])</f>
        <v>2024</v>
      </c>
      <c r="F342" s="2" t="s">
        <v>104</v>
      </c>
      <c r="G342" s="2" t="s">
        <v>27</v>
      </c>
      <c r="H342" s="2" t="s">
        <v>93</v>
      </c>
      <c r="I342" s="2" t="s">
        <v>94</v>
      </c>
      <c r="J342" s="2">
        <v>18</v>
      </c>
      <c r="K342" s="2">
        <v>1200</v>
      </c>
      <c r="L342" s="2">
        <v>5</v>
      </c>
      <c r="M342" s="2">
        <v>20520</v>
      </c>
      <c r="N342" s="23">
        <f>(Table1[[#This Row],[Profit (PKR)]]/Table1[[#This Row],[Total Revenue (PKR)]])</f>
        <v>0.21052631578947367</v>
      </c>
      <c r="O342" s="2">
        <v>900</v>
      </c>
      <c r="P342" s="2">
        <v>16200</v>
      </c>
      <c r="Q342" s="2">
        <v>4320</v>
      </c>
      <c r="R342" s="2" t="s">
        <v>22</v>
      </c>
      <c r="S342" s="2" t="str">
        <f>IF(AND(Table1[[#This Row],[Total Revenue (PKR)]]&gt;50000, Table1[[#This Row],[Discount %]]&lt;10),"High Value","Standard")</f>
        <v>Standard</v>
      </c>
      <c r="T342" s="2" t="s">
        <v>66</v>
      </c>
      <c r="U342" s="6" t="s">
        <v>44</v>
      </c>
      <c r="V342" s="19" t="s">
        <v>623</v>
      </c>
    </row>
    <row r="343" spans="1:22" x14ac:dyDescent="0.25">
      <c r="A343" s="5" t="s">
        <v>624</v>
      </c>
      <c r="B343" s="16">
        <f>DATEVALUE(Table1[[#This Row],[Date2]])</f>
        <v>45363</v>
      </c>
      <c r="C343" s="3" t="str">
        <f>TEXT(Table1[[#This Row],[Date]],"MMM")</f>
        <v>Mar</v>
      </c>
      <c r="D343" s="3" t="str">
        <f>"Q"&amp;ROUNDUP(MONTH(Table1[[#This Row],[Date]])/3,0)</f>
        <v>Q1</v>
      </c>
      <c r="E343" s="3">
        <f>YEAR(Table1[[#This Row],[Date]])</f>
        <v>2024</v>
      </c>
      <c r="F343" s="3" t="s">
        <v>18</v>
      </c>
      <c r="G343" s="3" t="s">
        <v>19</v>
      </c>
      <c r="H343" s="3" t="s">
        <v>28</v>
      </c>
      <c r="I343" s="3" t="s">
        <v>116</v>
      </c>
      <c r="J343" s="3">
        <v>5</v>
      </c>
      <c r="K343" s="3">
        <v>85000</v>
      </c>
      <c r="L343" s="3">
        <v>5</v>
      </c>
      <c r="M343" s="3">
        <v>403750</v>
      </c>
      <c r="N343" s="24">
        <f>(Table1[[#This Row],[Profit (PKR)]]/Table1[[#This Row],[Total Revenue (PKR)]])</f>
        <v>0.19504643962848298</v>
      </c>
      <c r="O343" s="3">
        <v>65000</v>
      </c>
      <c r="P343" s="3">
        <v>325000</v>
      </c>
      <c r="Q343" s="3">
        <v>78750</v>
      </c>
      <c r="R343" s="3" t="s">
        <v>42</v>
      </c>
      <c r="S343" s="3" t="str">
        <f>IF(AND(Table1[[#This Row],[Total Revenue (PKR)]]&gt;50000, Table1[[#This Row],[Discount %]]&lt;10),"High Value","Standard")</f>
        <v>High Value</v>
      </c>
      <c r="T343" s="3" t="s">
        <v>55</v>
      </c>
      <c r="U343" s="7" t="s">
        <v>24</v>
      </c>
      <c r="V343" s="20" t="s">
        <v>113</v>
      </c>
    </row>
    <row r="344" spans="1:22" x14ac:dyDescent="0.25">
      <c r="A344" s="4" t="s">
        <v>625</v>
      </c>
      <c r="B344" s="15">
        <f>DATEVALUE(Table1[[#This Row],[Date2]])</f>
        <v>45622</v>
      </c>
      <c r="C344" s="2" t="str">
        <f>TEXT(Table1[[#This Row],[Date]],"MMM")</f>
        <v>Nov</v>
      </c>
      <c r="D344" s="2" t="str">
        <f>"Q"&amp;ROUNDUP(MONTH(Table1[[#This Row],[Date]])/3,0)</f>
        <v>Q4</v>
      </c>
      <c r="E344" s="2">
        <f>YEAR(Table1[[#This Row],[Date]])</f>
        <v>2024</v>
      </c>
      <c r="F344" s="2" t="s">
        <v>18</v>
      </c>
      <c r="G344" s="2" t="s">
        <v>48</v>
      </c>
      <c r="H344" s="2" t="s">
        <v>28</v>
      </c>
      <c r="I344" s="2" t="s">
        <v>29</v>
      </c>
      <c r="J344" s="2">
        <v>3</v>
      </c>
      <c r="K344" s="2">
        <v>25000</v>
      </c>
      <c r="L344" s="2">
        <v>5</v>
      </c>
      <c r="M344" s="2">
        <v>71250</v>
      </c>
      <c r="N344" s="23">
        <f>(Table1[[#This Row],[Profit (PKR)]]/Table1[[#This Row],[Total Revenue (PKR)]])</f>
        <v>0.24210526315789474</v>
      </c>
      <c r="O344" s="2">
        <v>18000</v>
      </c>
      <c r="P344" s="2">
        <v>54000</v>
      </c>
      <c r="Q344" s="2">
        <v>17250</v>
      </c>
      <c r="R344" s="2" t="s">
        <v>42</v>
      </c>
      <c r="S344" s="2" t="str">
        <f>IF(AND(Table1[[#This Row],[Total Revenue (PKR)]]&gt;50000, Table1[[#This Row],[Discount %]]&lt;10),"High Value","Standard")</f>
        <v>High Value</v>
      </c>
      <c r="T344" s="2" t="s">
        <v>36</v>
      </c>
      <c r="U344" s="6" t="s">
        <v>44</v>
      </c>
      <c r="V344" s="19" t="s">
        <v>111</v>
      </c>
    </row>
    <row r="345" spans="1:22" x14ac:dyDescent="0.25">
      <c r="A345" s="5" t="s">
        <v>626</v>
      </c>
      <c r="B345" s="16">
        <f>DATEVALUE(Table1[[#This Row],[Date2]])</f>
        <v>45461</v>
      </c>
      <c r="C345" s="3" t="str">
        <f>TEXT(Table1[[#This Row],[Date]],"MMM")</f>
        <v>Jun</v>
      </c>
      <c r="D345" s="3" t="str">
        <f>"Q"&amp;ROUNDUP(MONTH(Table1[[#This Row],[Date]])/3,0)</f>
        <v>Q2</v>
      </c>
      <c r="E345" s="3">
        <f>YEAR(Table1[[#This Row],[Date]])</f>
        <v>2024</v>
      </c>
      <c r="F345" s="3" t="s">
        <v>18</v>
      </c>
      <c r="G345" s="3" t="s">
        <v>19</v>
      </c>
      <c r="H345" s="3" t="s">
        <v>93</v>
      </c>
      <c r="I345" s="3" t="s">
        <v>119</v>
      </c>
      <c r="J345" s="3">
        <v>6</v>
      </c>
      <c r="K345" s="3">
        <v>800</v>
      </c>
      <c r="L345" s="3">
        <v>20</v>
      </c>
      <c r="M345" s="3">
        <v>3840</v>
      </c>
      <c r="N345" s="24">
        <f>(Table1[[#This Row],[Profit (PKR)]]/Table1[[#This Row],[Total Revenue (PKR)]])</f>
        <v>6.25E-2</v>
      </c>
      <c r="O345" s="3">
        <v>600</v>
      </c>
      <c r="P345" s="3">
        <v>3600</v>
      </c>
      <c r="Q345" s="3">
        <v>240</v>
      </c>
      <c r="R345" s="3" t="s">
        <v>42</v>
      </c>
      <c r="S345" s="3" t="str">
        <f>IF(AND(Table1[[#This Row],[Total Revenue (PKR)]]&gt;50000, Table1[[#This Row],[Discount %]]&lt;10),"High Value","Standard")</f>
        <v>Standard</v>
      </c>
      <c r="T345" s="3" t="s">
        <v>23</v>
      </c>
      <c r="U345" s="7" t="s">
        <v>44</v>
      </c>
      <c r="V345" s="20" t="s">
        <v>627</v>
      </c>
    </row>
    <row r="346" spans="1:22" x14ac:dyDescent="0.25">
      <c r="A346" s="4" t="s">
        <v>628</v>
      </c>
      <c r="B346" s="15">
        <f>DATEVALUE(Table1[[#This Row],[Date2]])</f>
        <v>45307</v>
      </c>
      <c r="C346" s="2" t="str">
        <f>TEXT(Table1[[#This Row],[Date]],"MMM")</f>
        <v>Jan</v>
      </c>
      <c r="D346" s="2" t="str">
        <f>"Q"&amp;ROUNDUP(MONTH(Table1[[#This Row],[Date]])/3,0)</f>
        <v>Q1</v>
      </c>
      <c r="E346" s="2">
        <f>YEAR(Table1[[#This Row],[Date]])</f>
        <v>2024</v>
      </c>
      <c r="F346" s="2" t="s">
        <v>77</v>
      </c>
      <c r="G346" s="2" t="s">
        <v>27</v>
      </c>
      <c r="H346" s="2" t="s">
        <v>34</v>
      </c>
      <c r="I346" s="2" t="s">
        <v>41</v>
      </c>
      <c r="J346" s="2">
        <v>7</v>
      </c>
      <c r="K346" s="2">
        <v>3000</v>
      </c>
      <c r="L346" s="2">
        <v>5</v>
      </c>
      <c r="M346" s="2">
        <v>19950</v>
      </c>
      <c r="N346" s="23">
        <f>(Table1[[#This Row],[Profit (PKR)]]/Table1[[#This Row],[Total Revenue (PKR)]])</f>
        <v>0.47368421052631576</v>
      </c>
      <c r="O346" s="2">
        <v>1500</v>
      </c>
      <c r="P346" s="2">
        <v>10500</v>
      </c>
      <c r="Q346" s="2">
        <v>9450</v>
      </c>
      <c r="R346" s="2" t="s">
        <v>42</v>
      </c>
      <c r="S346" s="2" t="str">
        <f>IF(AND(Table1[[#This Row],[Total Revenue (PKR)]]&gt;50000, Table1[[#This Row],[Discount %]]&lt;10),"High Value","Standard")</f>
        <v>Standard</v>
      </c>
      <c r="T346" s="2" t="s">
        <v>55</v>
      </c>
      <c r="U346" s="6" t="s">
        <v>44</v>
      </c>
      <c r="V346" s="19" t="s">
        <v>600</v>
      </c>
    </row>
    <row r="347" spans="1:22" x14ac:dyDescent="0.25">
      <c r="A347" s="5" t="s">
        <v>629</v>
      </c>
      <c r="B347" s="16">
        <f>DATEVALUE(Table1[[#This Row],[Date2]])</f>
        <v>45368</v>
      </c>
      <c r="C347" s="3" t="str">
        <f>TEXT(Table1[[#This Row],[Date]],"MMM")</f>
        <v>Mar</v>
      </c>
      <c r="D347" s="3" t="str">
        <f>"Q"&amp;ROUNDUP(MONTH(Table1[[#This Row],[Date]])/3,0)</f>
        <v>Q1</v>
      </c>
      <c r="E347" s="3">
        <f>YEAR(Table1[[#This Row],[Date]])</f>
        <v>2024</v>
      </c>
      <c r="F347" s="3" t="s">
        <v>104</v>
      </c>
      <c r="G347" s="3" t="s">
        <v>64</v>
      </c>
      <c r="H347" s="3" t="s">
        <v>20</v>
      </c>
      <c r="I347" s="3" t="s">
        <v>59</v>
      </c>
      <c r="J347" s="3">
        <v>14</v>
      </c>
      <c r="K347" s="3">
        <v>12000</v>
      </c>
      <c r="L347" s="3">
        <v>20</v>
      </c>
      <c r="M347" s="3">
        <v>134400</v>
      </c>
      <c r="N347" s="24">
        <f>(Table1[[#This Row],[Profit (PKR)]]/Table1[[#This Row],[Total Revenue (PKR)]])</f>
        <v>0.16666666666666666</v>
      </c>
      <c r="O347" s="3">
        <v>8000</v>
      </c>
      <c r="P347" s="3">
        <v>112000</v>
      </c>
      <c r="Q347" s="3">
        <v>22400</v>
      </c>
      <c r="R347" s="3" t="s">
        <v>42</v>
      </c>
      <c r="S347" s="3" t="str">
        <f>IF(AND(Table1[[#This Row],[Total Revenue (PKR)]]&gt;50000, Table1[[#This Row],[Discount %]]&lt;10),"High Value","Standard")</f>
        <v>Standard</v>
      </c>
      <c r="T347" s="3" t="s">
        <v>43</v>
      </c>
      <c r="U347" s="7" t="s">
        <v>44</v>
      </c>
      <c r="V347" s="20" t="s">
        <v>630</v>
      </c>
    </row>
    <row r="348" spans="1:22" x14ac:dyDescent="0.25">
      <c r="A348" s="4" t="s">
        <v>631</v>
      </c>
      <c r="B348" s="15">
        <f>DATEVALUE(Table1[[#This Row],[Date2]])</f>
        <v>45488</v>
      </c>
      <c r="C348" s="2" t="str">
        <f>TEXT(Table1[[#This Row],[Date]],"MMM")</f>
        <v>Jul</v>
      </c>
      <c r="D348" s="2" t="str">
        <f>"Q"&amp;ROUNDUP(MONTH(Table1[[#This Row],[Date]])/3,0)</f>
        <v>Q3</v>
      </c>
      <c r="E348" s="2">
        <f>YEAR(Table1[[#This Row],[Date]])</f>
        <v>2024</v>
      </c>
      <c r="F348" s="2" t="s">
        <v>92</v>
      </c>
      <c r="G348" s="2" t="s">
        <v>27</v>
      </c>
      <c r="H348" s="2" t="s">
        <v>34</v>
      </c>
      <c r="I348" s="2" t="s">
        <v>89</v>
      </c>
      <c r="J348" s="2">
        <v>8</v>
      </c>
      <c r="K348" s="2">
        <v>4500</v>
      </c>
      <c r="L348" s="2">
        <v>25</v>
      </c>
      <c r="M348" s="2">
        <v>27000</v>
      </c>
      <c r="N348" s="23">
        <f>(Table1[[#This Row],[Profit (PKR)]]/Table1[[#This Row],[Total Revenue (PKR)]])</f>
        <v>0.25925925925925924</v>
      </c>
      <c r="O348" s="2">
        <v>2500</v>
      </c>
      <c r="P348" s="2">
        <v>20000</v>
      </c>
      <c r="Q348" s="2">
        <v>7000</v>
      </c>
      <c r="R348" s="2" t="s">
        <v>22</v>
      </c>
      <c r="S348" s="2" t="str">
        <f>IF(AND(Table1[[#This Row],[Total Revenue (PKR)]]&gt;50000, Table1[[#This Row],[Discount %]]&lt;10),"High Value","Standard")</f>
        <v>Standard</v>
      </c>
      <c r="T348" s="2" t="s">
        <v>66</v>
      </c>
      <c r="U348" s="6" t="s">
        <v>86</v>
      </c>
      <c r="V348" s="19" t="s">
        <v>556</v>
      </c>
    </row>
    <row r="349" spans="1:22" x14ac:dyDescent="0.25">
      <c r="A349" s="5" t="s">
        <v>632</v>
      </c>
      <c r="B349" s="16">
        <f>DATEVALUE(Table1[[#This Row],[Date2]])</f>
        <v>45475</v>
      </c>
      <c r="C349" s="3" t="str">
        <f>TEXT(Table1[[#This Row],[Date]],"MMM")</f>
        <v>Jul</v>
      </c>
      <c r="D349" s="3" t="str">
        <f>"Q"&amp;ROUNDUP(MONTH(Table1[[#This Row],[Date]])/3,0)</f>
        <v>Q3</v>
      </c>
      <c r="E349" s="3">
        <f>YEAR(Table1[[#This Row],[Date]])</f>
        <v>2024</v>
      </c>
      <c r="F349" s="3" t="s">
        <v>122</v>
      </c>
      <c r="G349" s="3" t="s">
        <v>74</v>
      </c>
      <c r="H349" s="3" t="s">
        <v>20</v>
      </c>
      <c r="I349" s="3" t="s">
        <v>137</v>
      </c>
      <c r="J349" s="3">
        <v>17</v>
      </c>
      <c r="K349" s="3">
        <v>15000</v>
      </c>
      <c r="L349" s="3">
        <v>10</v>
      </c>
      <c r="M349" s="3">
        <v>229500</v>
      </c>
      <c r="N349" s="24">
        <f>(Table1[[#This Row],[Profit (PKR)]]/Table1[[#This Row],[Total Revenue (PKR)]])</f>
        <v>0.25925925925925924</v>
      </c>
      <c r="O349" s="3">
        <v>10000</v>
      </c>
      <c r="P349" s="3">
        <v>170000</v>
      </c>
      <c r="Q349" s="3">
        <v>59500</v>
      </c>
      <c r="R349" s="3" t="s">
        <v>42</v>
      </c>
      <c r="S349" s="3" t="str">
        <f>IF(AND(Table1[[#This Row],[Total Revenue (PKR)]]&gt;50000, Table1[[#This Row],[Discount %]]&lt;10),"High Value","Standard")</f>
        <v>Standard</v>
      </c>
      <c r="T349" s="3" t="s">
        <v>55</v>
      </c>
      <c r="U349" s="7" t="s">
        <v>44</v>
      </c>
      <c r="V349" s="20" t="s">
        <v>282</v>
      </c>
    </row>
    <row r="350" spans="1:22" x14ac:dyDescent="0.25">
      <c r="A350" s="4" t="s">
        <v>633</v>
      </c>
      <c r="B350" s="15">
        <f>DATEVALUE(Table1[[#This Row],[Date2]])</f>
        <v>45455</v>
      </c>
      <c r="C350" s="2" t="str">
        <f>TEXT(Table1[[#This Row],[Date]],"MMM")</f>
        <v>Jun</v>
      </c>
      <c r="D350" s="2" t="str">
        <f>"Q"&amp;ROUNDUP(MONTH(Table1[[#This Row],[Date]])/3,0)</f>
        <v>Q2</v>
      </c>
      <c r="E350" s="2">
        <f>YEAR(Table1[[#This Row],[Date]])</f>
        <v>2024</v>
      </c>
      <c r="F350" s="2" t="s">
        <v>47</v>
      </c>
      <c r="G350" s="2" t="s">
        <v>64</v>
      </c>
      <c r="H350" s="2" t="s">
        <v>28</v>
      </c>
      <c r="I350" s="2" t="s">
        <v>274</v>
      </c>
      <c r="J350" s="2">
        <v>2</v>
      </c>
      <c r="K350" s="2">
        <v>35000</v>
      </c>
      <c r="L350" s="2">
        <v>15</v>
      </c>
      <c r="M350" s="2">
        <v>59500</v>
      </c>
      <c r="N350" s="23">
        <f>(Table1[[#This Row],[Profit (PKR)]]/Table1[[#This Row],[Total Revenue (PKR)]])</f>
        <v>0.12605042016806722</v>
      </c>
      <c r="O350" s="2">
        <v>26000</v>
      </c>
      <c r="P350" s="2">
        <v>52000</v>
      </c>
      <c r="Q350" s="2">
        <v>7500</v>
      </c>
      <c r="R350" s="2" t="s">
        <v>42</v>
      </c>
      <c r="S350" s="2" t="str">
        <f>IF(AND(Table1[[#This Row],[Total Revenue (PKR)]]&gt;50000, Table1[[#This Row],[Discount %]]&lt;10),"High Value","Standard")</f>
        <v>Standard</v>
      </c>
      <c r="T350" s="2" t="s">
        <v>30</v>
      </c>
      <c r="U350" s="6" t="s">
        <v>56</v>
      </c>
      <c r="V350" s="19" t="s">
        <v>497</v>
      </c>
    </row>
    <row r="351" spans="1:22" x14ac:dyDescent="0.25">
      <c r="A351" s="5" t="s">
        <v>634</v>
      </c>
      <c r="B351" s="16">
        <f>DATEVALUE(Table1[[#This Row],[Date2]])</f>
        <v>45373</v>
      </c>
      <c r="C351" s="3" t="str">
        <f>TEXT(Table1[[#This Row],[Date]],"MMM")</f>
        <v>Mar</v>
      </c>
      <c r="D351" s="3" t="str">
        <f>"Q"&amp;ROUNDUP(MONTH(Table1[[#This Row],[Date]])/3,0)</f>
        <v>Q1</v>
      </c>
      <c r="E351" s="3">
        <f>YEAR(Table1[[#This Row],[Date]])</f>
        <v>2024</v>
      </c>
      <c r="F351" s="3" t="s">
        <v>18</v>
      </c>
      <c r="G351" s="3" t="s">
        <v>64</v>
      </c>
      <c r="H351" s="3" t="s">
        <v>34</v>
      </c>
      <c r="I351" s="3" t="s">
        <v>41</v>
      </c>
      <c r="J351" s="3">
        <v>18</v>
      </c>
      <c r="K351" s="3">
        <v>3000</v>
      </c>
      <c r="L351" s="3">
        <v>25</v>
      </c>
      <c r="M351" s="3">
        <v>40500</v>
      </c>
      <c r="N351" s="24">
        <f>(Table1[[#This Row],[Profit (PKR)]]/Table1[[#This Row],[Total Revenue (PKR)]])</f>
        <v>0.33333333333333331</v>
      </c>
      <c r="O351" s="3">
        <v>1500</v>
      </c>
      <c r="P351" s="3">
        <v>27000</v>
      </c>
      <c r="Q351" s="3">
        <v>13500</v>
      </c>
      <c r="R351" s="3" t="s">
        <v>22</v>
      </c>
      <c r="S351" s="3" t="str">
        <f>IF(AND(Table1[[#This Row],[Total Revenue (PKR)]]&gt;50000, Table1[[#This Row],[Discount %]]&lt;10),"High Value","Standard")</f>
        <v>Standard</v>
      </c>
      <c r="T351" s="3" t="s">
        <v>36</v>
      </c>
      <c r="U351" s="7" t="s">
        <v>44</v>
      </c>
      <c r="V351" s="20" t="s">
        <v>635</v>
      </c>
    </row>
    <row r="352" spans="1:22" x14ac:dyDescent="0.25">
      <c r="A352" s="4" t="s">
        <v>636</v>
      </c>
      <c r="B352" s="15">
        <f>DATEVALUE(Table1[[#This Row],[Date2]])</f>
        <v>45490</v>
      </c>
      <c r="C352" s="2" t="str">
        <f>TEXT(Table1[[#This Row],[Date]],"MMM")</f>
        <v>Jul</v>
      </c>
      <c r="D352" s="2" t="str">
        <f>"Q"&amp;ROUNDUP(MONTH(Table1[[#This Row],[Date]])/3,0)</f>
        <v>Q3</v>
      </c>
      <c r="E352" s="2">
        <f>YEAR(Table1[[#This Row],[Date]])</f>
        <v>2024</v>
      </c>
      <c r="F352" s="2" t="s">
        <v>100</v>
      </c>
      <c r="G352" s="2" t="s">
        <v>40</v>
      </c>
      <c r="H352" s="2" t="s">
        <v>34</v>
      </c>
      <c r="I352" s="2" t="s">
        <v>146</v>
      </c>
      <c r="J352" s="2">
        <v>19</v>
      </c>
      <c r="K352" s="2">
        <v>3500</v>
      </c>
      <c r="L352" s="2">
        <v>10</v>
      </c>
      <c r="M352" s="2">
        <v>59850</v>
      </c>
      <c r="N352" s="23">
        <f>(Table1[[#This Row],[Profit (PKR)]]/Table1[[#This Row],[Total Revenue (PKR)]])</f>
        <v>0.42857142857142855</v>
      </c>
      <c r="O352" s="2">
        <v>1800</v>
      </c>
      <c r="P352" s="2">
        <v>34200</v>
      </c>
      <c r="Q352" s="2">
        <v>25650</v>
      </c>
      <c r="R352" s="2" t="s">
        <v>42</v>
      </c>
      <c r="S352" s="2" t="str">
        <f>IF(AND(Table1[[#This Row],[Total Revenue (PKR)]]&gt;50000, Table1[[#This Row],[Discount %]]&lt;10),"High Value","Standard")</f>
        <v>Standard</v>
      </c>
      <c r="T352" s="2" t="s">
        <v>30</v>
      </c>
      <c r="U352" s="6" t="s">
        <v>44</v>
      </c>
      <c r="V352" s="19" t="s">
        <v>637</v>
      </c>
    </row>
    <row r="353" spans="1:22" x14ac:dyDescent="0.25">
      <c r="A353" s="5" t="s">
        <v>638</v>
      </c>
      <c r="B353" s="16">
        <f>DATEVALUE(Table1[[#This Row],[Date2]])</f>
        <v>45650</v>
      </c>
      <c r="C353" s="3" t="str">
        <f>TEXT(Table1[[#This Row],[Date]],"MMM")</f>
        <v>Dec</v>
      </c>
      <c r="D353" s="3" t="str">
        <f>"Q"&amp;ROUNDUP(MONTH(Table1[[#This Row],[Date]])/3,0)</f>
        <v>Q4</v>
      </c>
      <c r="E353" s="3">
        <f>YEAR(Table1[[#This Row],[Date]])</f>
        <v>2024</v>
      </c>
      <c r="F353" s="3" t="s">
        <v>100</v>
      </c>
      <c r="G353" s="3" t="s">
        <v>40</v>
      </c>
      <c r="H353" s="3" t="s">
        <v>53</v>
      </c>
      <c r="I353" s="3" t="s">
        <v>54</v>
      </c>
      <c r="J353" s="3">
        <v>16</v>
      </c>
      <c r="K353" s="3">
        <v>2000</v>
      </c>
      <c r="L353" s="3">
        <v>20</v>
      </c>
      <c r="M353" s="3">
        <v>25600</v>
      </c>
      <c r="N353" s="24">
        <f>(Table1[[#This Row],[Profit (PKR)]]/Table1[[#This Row],[Total Revenue (PKR)]])</f>
        <v>0.25</v>
      </c>
      <c r="O353" s="3">
        <v>1200</v>
      </c>
      <c r="P353" s="3">
        <v>19200</v>
      </c>
      <c r="Q353" s="3">
        <v>6400</v>
      </c>
      <c r="R353" s="3" t="s">
        <v>42</v>
      </c>
      <c r="S353" s="3" t="str">
        <f>IF(AND(Table1[[#This Row],[Total Revenue (PKR)]]&gt;50000, Table1[[#This Row],[Discount %]]&lt;10),"High Value","Standard")</f>
        <v>Standard</v>
      </c>
      <c r="T353" s="3" t="s">
        <v>36</v>
      </c>
      <c r="U353" s="7" t="s">
        <v>44</v>
      </c>
      <c r="V353" s="20" t="s">
        <v>474</v>
      </c>
    </row>
    <row r="354" spans="1:22" x14ac:dyDescent="0.25">
      <c r="A354" s="4" t="s">
        <v>639</v>
      </c>
      <c r="B354" s="15">
        <f>DATEVALUE(Table1[[#This Row],[Date2]])</f>
        <v>45338</v>
      </c>
      <c r="C354" s="2" t="str">
        <f>TEXT(Table1[[#This Row],[Date]],"MMM")</f>
        <v>Feb</v>
      </c>
      <c r="D354" s="2" t="str">
        <f>"Q"&amp;ROUNDUP(MONTH(Table1[[#This Row],[Date]])/3,0)</f>
        <v>Q1</v>
      </c>
      <c r="E354" s="2">
        <f>YEAR(Table1[[#This Row],[Date]])</f>
        <v>2024</v>
      </c>
      <c r="F354" s="2" t="s">
        <v>104</v>
      </c>
      <c r="G354" s="2" t="s">
        <v>64</v>
      </c>
      <c r="H354" s="2" t="s">
        <v>53</v>
      </c>
      <c r="I354" s="2" t="s">
        <v>54</v>
      </c>
      <c r="J354" s="2">
        <v>1</v>
      </c>
      <c r="K354" s="2">
        <v>2000</v>
      </c>
      <c r="L354" s="2">
        <v>20</v>
      </c>
      <c r="M354" s="2">
        <v>1600</v>
      </c>
      <c r="N354" s="23">
        <f>(Table1[[#This Row],[Profit (PKR)]]/Table1[[#This Row],[Total Revenue (PKR)]])</f>
        <v>0.25</v>
      </c>
      <c r="O354" s="2">
        <v>1200</v>
      </c>
      <c r="P354" s="2">
        <v>1200</v>
      </c>
      <c r="Q354" s="2">
        <v>400</v>
      </c>
      <c r="R354" s="2" t="s">
        <v>42</v>
      </c>
      <c r="S354" s="2" t="str">
        <f>IF(AND(Table1[[#This Row],[Total Revenue (PKR)]]&gt;50000, Table1[[#This Row],[Discount %]]&lt;10),"High Value","Standard")</f>
        <v>Standard</v>
      </c>
      <c r="T354" s="2" t="s">
        <v>43</v>
      </c>
      <c r="U354" s="6" t="s">
        <v>44</v>
      </c>
      <c r="V354" s="19" t="s">
        <v>640</v>
      </c>
    </row>
    <row r="355" spans="1:22" x14ac:dyDescent="0.25">
      <c r="A355" s="5" t="s">
        <v>641</v>
      </c>
      <c r="B355" s="16">
        <f>DATEVALUE(Table1[[#This Row],[Date2]])</f>
        <v>45606</v>
      </c>
      <c r="C355" s="3" t="str">
        <f>TEXT(Table1[[#This Row],[Date]],"MMM")</f>
        <v>Nov</v>
      </c>
      <c r="D355" s="3" t="str">
        <f>"Q"&amp;ROUNDUP(MONTH(Table1[[#This Row],[Date]])/3,0)</f>
        <v>Q4</v>
      </c>
      <c r="E355" s="3">
        <f>YEAR(Table1[[#This Row],[Date]])</f>
        <v>2024</v>
      </c>
      <c r="F355" s="3" t="s">
        <v>33</v>
      </c>
      <c r="G355" s="3" t="s">
        <v>40</v>
      </c>
      <c r="H355" s="3" t="s">
        <v>20</v>
      </c>
      <c r="I355" s="3" t="s">
        <v>21</v>
      </c>
      <c r="J355" s="3">
        <v>11</v>
      </c>
      <c r="K355" s="3">
        <v>3500</v>
      </c>
      <c r="L355" s="3">
        <v>0</v>
      </c>
      <c r="M355" s="3">
        <v>38500</v>
      </c>
      <c r="N355" s="24">
        <f>(Table1[[#This Row],[Profit (PKR)]]/Table1[[#This Row],[Total Revenue (PKR)]])</f>
        <v>0.42857142857142855</v>
      </c>
      <c r="O355" s="3">
        <v>2000</v>
      </c>
      <c r="P355" s="3">
        <v>22000</v>
      </c>
      <c r="Q355" s="3">
        <v>16500</v>
      </c>
      <c r="R355" s="3" t="s">
        <v>22</v>
      </c>
      <c r="S355" s="3" t="str">
        <f>IF(AND(Table1[[#This Row],[Total Revenue (PKR)]]&gt;50000, Table1[[#This Row],[Discount %]]&lt;10),"High Value","Standard")</f>
        <v>Standard</v>
      </c>
      <c r="T355" s="3" t="s">
        <v>36</v>
      </c>
      <c r="U355" s="7" t="s">
        <v>44</v>
      </c>
      <c r="V355" s="20" t="s">
        <v>308</v>
      </c>
    </row>
    <row r="356" spans="1:22" x14ac:dyDescent="0.25">
      <c r="A356" s="4" t="s">
        <v>642</v>
      </c>
      <c r="B356" s="15">
        <f>DATEVALUE(Table1[[#This Row],[Date2]])</f>
        <v>45364</v>
      </c>
      <c r="C356" s="2" t="str">
        <f>TEXT(Table1[[#This Row],[Date]],"MMM")</f>
        <v>Mar</v>
      </c>
      <c r="D356" s="2" t="str">
        <f>"Q"&amp;ROUNDUP(MONTH(Table1[[#This Row],[Date]])/3,0)</f>
        <v>Q1</v>
      </c>
      <c r="E356" s="2">
        <f>YEAR(Table1[[#This Row],[Date]])</f>
        <v>2024</v>
      </c>
      <c r="F356" s="2" t="s">
        <v>18</v>
      </c>
      <c r="G356" s="2" t="s">
        <v>52</v>
      </c>
      <c r="H356" s="2" t="s">
        <v>28</v>
      </c>
      <c r="I356" s="2" t="s">
        <v>274</v>
      </c>
      <c r="J356" s="2">
        <v>13</v>
      </c>
      <c r="K356" s="2">
        <v>35000</v>
      </c>
      <c r="L356" s="2">
        <v>20</v>
      </c>
      <c r="M356" s="2">
        <v>364000</v>
      </c>
      <c r="N356" s="23">
        <f>(Table1[[#This Row],[Profit (PKR)]]/Table1[[#This Row],[Total Revenue (PKR)]])</f>
        <v>7.1428571428571425E-2</v>
      </c>
      <c r="O356" s="2">
        <v>26000</v>
      </c>
      <c r="P356" s="2">
        <v>338000</v>
      </c>
      <c r="Q356" s="2">
        <v>26000</v>
      </c>
      <c r="R356" s="2" t="s">
        <v>22</v>
      </c>
      <c r="S356" s="2" t="str">
        <f>IF(AND(Table1[[#This Row],[Total Revenue (PKR)]]&gt;50000, Table1[[#This Row],[Discount %]]&lt;10),"High Value","Standard")</f>
        <v>Standard</v>
      </c>
      <c r="T356" s="2" t="s">
        <v>55</v>
      </c>
      <c r="U356" s="6" t="s">
        <v>44</v>
      </c>
      <c r="V356" s="19" t="s">
        <v>643</v>
      </c>
    </row>
    <row r="357" spans="1:22" x14ac:dyDescent="0.25">
      <c r="A357" s="5" t="s">
        <v>644</v>
      </c>
      <c r="B357" s="16">
        <f>DATEVALUE(Table1[[#This Row],[Date2]])</f>
        <v>45361</v>
      </c>
      <c r="C357" s="3" t="str">
        <f>TEXT(Table1[[#This Row],[Date]],"MMM")</f>
        <v>Mar</v>
      </c>
      <c r="D357" s="3" t="str">
        <f>"Q"&amp;ROUNDUP(MONTH(Table1[[#This Row],[Date]])/3,0)</f>
        <v>Q1</v>
      </c>
      <c r="E357" s="3">
        <f>YEAR(Table1[[#This Row],[Date]])</f>
        <v>2024</v>
      </c>
      <c r="F357" s="3" t="s">
        <v>92</v>
      </c>
      <c r="G357" s="3" t="s">
        <v>27</v>
      </c>
      <c r="H357" s="3" t="s">
        <v>93</v>
      </c>
      <c r="I357" s="3" t="s">
        <v>98</v>
      </c>
      <c r="J357" s="3">
        <v>6</v>
      </c>
      <c r="K357" s="3">
        <v>400</v>
      </c>
      <c r="L357" s="3">
        <v>25</v>
      </c>
      <c r="M357" s="3">
        <v>1800</v>
      </c>
      <c r="N357" s="24">
        <f>(Table1[[#This Row],[Profit (PKR)]]/Table1[[#This Row],[Total Revenue (PKR)]])</f>
        <v>6.6666666666666666E-2</v>
      </c>
      <c r="O357" s="3">
        <v>280</v>
      </c>
      <c r="P357" s="3">
        <v>1680</v>
      </c>
      <c r="Q357" s="3">
        <v>120</v>
      </c>
      <c r="R357" s="3" t="s">
        <v>42</v>
      </c>
      <c r="S357" s="3" t="str">
        <f>IF(AND(Table1[[#This Row],[Total Revenue (PKR)]]&gt;50000, Table1[[#This Row],[Discount %]]&lt;10),"High Value","Standard")</f>
        <v>Standard</v>
      </c>
      <c r="T357" s="3" t="s">
        <v>36</v>
      </c>
      <c r="U357" s="7" t="s">
        <v>24</v>
      </c>
      <c r="V357" s="20" t="s">
        <v>645</v>
      </c>
    </row>
    <row r="358" spans="1:22" x14ac:dyDescent="0.25">
      <c r="A358" s="4" t="s">
        <v>646</v>
      </c>
      <c r="B358" s="15">
        <f>DATEVALUE(Table1[[#This Row],[Date2]])</f>
        <v>45381</v>
      </c>
      <c r="C358" s="2" t="str">
        <f>TEXT(Table1[[#This Row],[Date]],"MMM")</f>
        <v>Mar</v>
      </c>
      <c r="D358" s="2" t="str">
        <f>"Q"&amp;ROUNDUP(MONTH(Table1[[#This Row],[Date]])/3,0)</f>
        <v>Q1</v>
      </c>
      <c r="E358" s="2">
        <f>YEAR(Table1[[#This Row],[Date]])</f>
        <v>2024</v>
      </c>
      <c r="F358" s="2" t="s">
        <v>77</v>
      </c>
      <c r="G358" s="2" t="s">
        <v>48</v>
      </c>
      <c r="H358" s="2" t="s">
        <v>20</v>
      </c>
      <c r="I358" s="2" t="s">
        <v>21</v>
      </c>
      <c r="J358" s="2">
        <v>6</v>
      </c>
      <c r="K358" s="2">
        <v>3500</v>
      </c>
      <c r="L358" s="2">
        <v>25</v>
      </c>
      <c r="M358" s="2">
        <v>15750</v>
      </c>
      <c r="N358" s="23">
        <f>(Table1[[#This Row],[Profit (PKR)]]/Table1[[#This Row],[Total Revenue (PKR)]])</f>
        <v>0.23809523809523808</v>
      </c>
      <c r="O358" s="2">
        <v>2000</v>
      </c>
      <c r="P358" s="2">
        <v>12000</v>
      </c>
      <c r="Q358" s="2">
        <v>3750</v>
      </c>
      <c r="R358" s="2" t="s">
        <v>22</v>
      </c>
      <c r="S358" s="2" t="str">
        <f>IF(AND(Table1[[#This Row],[Total Revenue (PKR)]]&gt;50000, Table1[[#This Row],[Discount %]]&lt;10),"High Value","Standard")</f>
        <v>Standard</v>
      </c>
      <c r="T358" s="2" t="s">
        <v>23</v>
      </c>
      <c r="U358" s="6" t="s">
        <v>95</v>
      </c>
      <c r="V358" s="19" t="s">
        <v>623</v>
      </c>
    </row>
    <row r="359" spans="1:22" x14ac:dyDescent="0.25">
      <c r="A359" s="5" t="s">
        <v>647</v>
      </c>
      <c r="B359" s="16">
        <f>DATEVALUE(Table1[[#This Row],[Date2]])</f>
        <v>45492</v>
      </c>
      <c r="C359" s="3" t="str">
        <f>TEXT(Table1[[#This Row],[Date]],"MMM")</f>
        <v>Jul</v>
      </c>
      <c r="D359" s="3" t="str">
        <f>"Q"&amp;ROUNDUP(MONTH(Table1[[#This Row],[Date]])/3,0)</f>
        <v>Q3</v>
      </c>
      <c r="E359" s="3">
        <f>YEAR(Table1[[#This Row],[Date]])</f>
        <v>2024</v>
      </c>
      <c r="F359" s="3" t="s">
        <v>47</v>
      </c>
      <c r="G359" s="3" t="s">
        <v>19</v>
      </c>
      <c r="H359" s="3" t="s">
        <v>34</v>
      </c>
      <c r="I359" s="3" t="s">
        <v>89</v>
      </c>
      <c r="J359" s="3">
        <v>11</v>
      </c>
      <c r="K359" s="3">
        <v>4500</v>
      </c>
      <c r="L359" s="3">
        <v>20</v>
      </c>
      <c r="M359" s="3">
        <v>39600</v>
      </c>
      <c r="N359" s="24">
        <f>(Table1[[#This Row],[Profit (PKR)]]/Table1[[#This Row],[Total Revenue (PKR)]])</f>
        <v>0.30555555555555558</v>
      </c>
      <c r="O359" s="3">
        <v>2500</v>
      </c>
      <c r="P359" s="3">
        <v>27500</v>
      </c>
      <c r="Q359" s="3">
        <v>12100</v>
      </c>
      <c r="R359" s="3" t="s">
        <v>22</v>
      </c>
      <c r="S359" s="3" t="str">
        <f>IF(AND(Table1[[#This Row],[Total Revenue (PKR)]]&gt;50000, Table1[[#This Row],[Discount %]]&lt;10),"High Value","Standard")</f>
        <v>Standard</v>
      </c>
      <c r="T359" s="3" t="s">
        <v>23</v>
      </c>
      <c r="U359" s="7" t="s">
        <v>44</v>
      </c>
      <c r="V359" s="20" t="s">
        <v>596</v>
      </c>
    </row>
    <row r="360" spans="1:22" x14ac:dyDescent="0.25">
      <c r="A360" s="4" t="s">
        <v>648</v>
      </c>
      <c r="B360" s="15">
        <f>DATEVALUE(Table1[[#This Row],[Date2]])</f>
        <v>45546</v>
      </c>
      <c r="C360" s="2" t="str">
        <f>TEXT(Table1[[#This Row],[Date]],"MMM")</f>
        <v>Sep</v>
      </c>
      <c r="D360" s="2" t="str">
        <f>"Q"&amp;ROUNDUP(MONTH(Table1[[#This Row],[Date]])/3,0)</f>
        <v>Q3</v>
      </c>
      <c r="E360" s="2">
        <f>YEAR(Table1[[#This Row],[Date]])</f>
        <v>2024</v>
      </c>
      <c r="F360" s="2" t="s">
        <v>92</v>
      </c>
      <c r="G360" s="2" t="s">
        <v>52</v>
      </c>
      <c r="H360" s="2" t="s">
        <v>28</v>
      </c>
      <c r="I360" s="2" t="s">
        <v>116</v>
      </c>
      <c r="J360" s="2">
        <v>12</v>
      </c>
      <c r="K360" s="2">
        <v>85000</v>
      </c>
      <c r="L360" s="2">
        <v>10</v>
      </c>
      <c r="M360" s="2">
        <v>918000</v>
      </c>
      <c r="N360" s="23">
        <f>(Table1[[#This Row],[Profit (PKR)]]/Table1[[#This Row],[Total Revenue (PKR)]])</f>
        <v>0.15032679738562091</v>
      </c>
      <c r="O360" s="2">
        <v>65000</v>
      </c>
      <c r="P360" s="2">
        <v>780000</v>
      </c>
      <c r="Q360" s="2">
        <v>138000</v>
      </c>
      <c r="R360" s="2" t="s">
        <v>22</v>
      </c>
      <c r="S360" s="2" t="str">
        <f>IF(AND(Table1[[#This Row],[Total Revenue (PKR)]]&gt;50000, Table1[[#This Row],[Discount %]]&lt;10),"High Value","Standard")</f>
        <v>Standard</v>
      </c>
      <c r="T360" s="2" t="s">
        <v>23</v>
      </c>
      <c r="U360" s="6" t="s">
        <v>86</v>
      </c>
      <c r="V360" s="19" t="s">
        <v>277</v>
      </c>
    </row>
    <row r="361" spans="1:22" x14ac:dyDescent="0.25">
      <c r="A361" s="5" t="s">
        <v>649</v>
      </c>
      <c r="B361" s="16">
        <f>DATEVALUE(Table1[[#This Row],[Date2]])</f>
        <v>45337</v>
      </c>
      <c r="C361" s="3" t="str">
        <f>TEXT(Table1[[#This Row],[Date]],"MMM")</f>
        <v>Feb</v>
      </c>
      <c r="D361" s="3" t="str">
        <f>"Q"&amp;ROUNDUP(MONTH(Table1[[#This Row],[Date]])/3,0)</f>
        <v>Q1</v>
      </c>
      <c r="E361" s="3">
        <f>YEAR(Table1[[#This Row],[Date]])</f>
        <v>2024</v>
      </c>
      <c r="F361" s="3" t="s">
        <v>100</v>
      </c>
      <c r="G361" s="3" t="s">
        <v>74</v>
      </c>
      <c r="H361" s="3" t="s">
        <v>28</v>
      </c>
      <c r="I361" s="3" t="s">
        <v>274</v>
      </c>
      <c r="J361" s="3">
        <v>7</v>
      </c>
      <c r="K361" s="3">
        <v>35000</v>
      </c>
      <c r="L361" s="3">
        <v>5</v>
      </c>
      <c r="M361" s="3">
        <v>232750</v>
      </c>
      <c r="N361" s="24">
        <f>(Table1[[#This Row],[Profit (PKR)]]/Table1[[#This Row],[Total Revenue (PKR)]])</f>
        <v>0.21804511278195488</v>
      </c>
      <c r="O361" s="3">
        <v>26000</v>
      </c>
      <c r="P361" s="3">
        <v>182000</v>
      </c>
      <c r="Q361" s="3">
        <v>50750</v>
      </c>
      <c r="R361" s="3" t="s">
        <v>22</v>
      </c>
      <c r="S361" s="3" t="str">
        <f>IF(AND(Table1[[#This Row],[Total Revenue (PKR)]]&gt;50000, Table1[[#This Row],[Discount %]]&lt;10),"High Value","Standard")</f>
        <v>High Value</v>
      </c>
      <c r="T361" s="3" t="s">
        <v>55</v>
      </c>
      <c r="U361" s="7" t="s">
        <v>44</v>
      </c>
      <c r="V361" s="20" t="s">
        <v>650</v>
      </c>
    </row>
    <row r="362" spans="1:22" x14ac:dyDescent="0.25">
      <c r="A362" s="4" t="s">
        <v>651</v>
      </c>
      <c r="B362" s="15">
        <f>DATEVALUE(Table1[[#This Row],[Date2]])</f>
        <v>45347</v>
      </c>
      <c r="C362" s="2" t="str">
        <f>TEXT(Table1[[#This Row],[Date]],"MMM")</f>
        <v>Feb</v>
      </c>
      <c r="D362" s="2" t="str">
        <f>"Q"&amp;ROUNDUP(MONTH(Table1[[#This Row],[Date]])/3,0)</f>
        <v>Q1</v>
      </c>
      <c r="E362" s="2">
        <f>YEAR(Table1[[#This Row],[Date]])</f>
        <v>2024</v>
      </c>
      <c r="F362" s="2" t="s">
        <v>104</v>
      </c>
      <c r="G362" s="2" t="s">
        <v>19</v>
      </c>
      <c r="H362" s="2" t="s">
        <v>93</v>
      </c>
      <c r="I362" s="2" t="s">
        <v>109</v>
      </c>
      <c r="J362" s="2">
        <v>14</v>
      </c>
      <c r="K362" s="2">
        <v>700</v>
      </c>
      <c r="L362" s="2">
        <v>5</v>
      </c>
      <c r="M362" s="2">
        <v>9310</v>
      </c>
      <c r="N362" s="23">
        <f>(Table1[[#This Row],[Profit (PKR)]]/Table1[[#This Row],[Total Revenue (PKR)]])</f>
        <v>0.24812030075187969</v>
      </c>
      <c r="O362" s="2">
        <v>500</v>
      </c>
      <c r="P362" s="2">
        <v>7000</v>
      </c>
      <c r="Q362" s="2">
        <v>2310</v>
      </c>
      <c r="R362" s="2" t="s">
        <v>42</v>
      </c>
      <c r="S362" s="2" t="str">
        <f>IF(AND(Table1[[#This Row],[Total Revenue (PKR)]]&gt;50000, Table1[[#This Row],[Discount %]]&lt;10),"High Value","Standard")</f>
        <v>Standard</v>
      </c>
      <c r="T362" s="2" t="s">
        <v>66</v>
      </c>
      <c r="U362" s="6" t="s">
        <v>86</v>
      </c>
      <c r="V362" s="19" t="s">
        <v>429</v>
      </c>
    </row>
    <row r="363" spans="1:22" x14ac:dyDescent="0.25">
      <c r="A363" s="5" t="s">
        <v>652</v>
      </c>
      <c r="B363" s="16">
        <f>DATEVALUE(Table1[[#This Row],[Date2]])</f>
        <v>45471</v>
      </c>
      <c r="C363" s="3" t="str">
        <f>TEXT(Table1[[#This Row],[Date]],"MMM")</f>
        <v>Jun</v>
      </c>
      <c r="D363" s="3" t="str">
        <f>"Q"&amp;ROUNDUP(MONTH(Table1[[#This Row],[Date]])/3,0)</f>
        <v>Q2</v>
      </c>
      <c r="E363" s="3">
        <f>YEAR(Table1[[#This Row],[Date]])</f>
        <v>2024</v>
      </c>
      <c r="F363" s="3" t="s">
        <v>63</v>
      </c>
      <c r="G363" s="3" t="s">
        <v>27</v>
      </c>
      <c r="H363" s="3" t="s">
        <v>28</v>
      </c>
      <c r="I363" s="3" t="s">
        <v>49</v>
      </c>
      <c r="J363" s="3">
        <v>19</v>
      </c>
      <c r="K363" s="3">
        <v>5000</v>
      </c>
      <c r="L363" s="3">
        <v>25</v>
      </c>
      <c r="M363" s="3">
        <v>71250</v>
      </c>
      <c r="N363" s="24">
        <f>(Table1[[#This Row],[Profit (PKR)]]/Table1[[#This Row],[Total Revenue (PKR)]])</f>
        <v>0.2</v>
      </c>
      <c r="O363" s="3">
        <v>3000</v>
      </c>
      <c r="P363" s="3">
        <v>57000</v>
      </c>
      <c r="Q363" s="3">
        <v>14250</v>
      </c>
      <c r="R363" s="3" t="s">
        <v>22</v>
      </c>
      <c r="S363" s="3" t="str">
        <f>IF(AND(Table1[[#This Row],[Total Revenue (PKR)]]&gt;50000, Table1[[#This Row],[Discount %]]&lt;10),"High Value","Standard")</f>
        <v>Standard</v>
      </c>
      <c r="T363" s="3" t="s">
        <v>36</v>
      </c>
      <c r="U363" s="7" t="s">
        <v>44</v>
      </c>
      <c r="V363" s="20" t="s">
        <v>357</v>
      </c>
    </row>
    <row r="364" spans="1:22" x14ac:dyDescent="0.25">
      <c r="A364" s="4" t="s">
        <v>653</v>
      </c>
      <c r="B364" s="15">
        <f>DATEVALUE(Table1[[#This Row],[Date2]])</f>
        <v>45309</v>
      </c>
      <c r="C364" s="2" t="str">
        <f>TEXT(Table1[[#This Row],[Date]],"MMM")</f>
        <v>Jan</v>
      </c>
      <c r="D364" s="2" t="str">
        <f>"Q"&amp;ROUNDUP(MONTH(Table1[[#This Row],[Date]])/3,0)</f>
        <v>Q1</v>
      </c>
      <c r="E364" s="2">
        <f>YEAR(Table1[[#This Row],[Date]])</f>
        <v>2024</v>
      </c>
      <c r="F364" s="2" t="s">
        <v>39</v>
      </c>
      <c r="G364" s="2" t="s">
        <v>19</v>
      </c>
      <c r="H364" s="2" t="s">
        <v>20</v>
      </c>
      <c r="I364" s="2" t="s">
        <v>182</v>
      </c>
      <c r="J364" s="2">
        <v>4</v>
      </c>
      <c r="K364" s="2">
        <v>5000</v>
      </c>
      <c r="L364" s="2">
        <v>0</v>
      </c>
      <c r="M364" s="2">
        <v>20000</v>
      </c>
      <c r="N364" s="23">
        <f>(Table1[[#This Row],[Profit (PKR)]]/Table1[[#This Row],[Total Revenue (PKR)]])</f>
        <v>0.4</v>
      </c>
      <c r="O364" s="2">
        <v>3000</v>
      </c>
      <c r="P364" s="2">
        <v>12000</v>
      </c>
      <c r="Q364" s="2">
        <v>8000</v>
      </c>
      <c r="R364" s="2" t="s">
        <v>42</v>
      </c>
      <c r="S364" s="2" t="str">
        <f>IF(AND(Table1[[#This Row],[Total Revenue (PKR)]]&gt;50000, Table1[[#This Row],[Discount %]]&lt;10),"High Value","Standard")</f>
        <v>Standard</v>
      </c>
      <c r="T364" s="2" t="s">
        <v>36</v>
      </c>
      <c r="U364" s="6" t="s">
        <v>86</v>
      </c>
      <c r="V364" s="19" t="s">
        <v>654</v>
      </c>
    </row>
    <row r="365" spans="1:22" x14ac:dyDescent="0.25">
      <c r="A365" s="5" t="s">
        <v>655</v>
      </c>
      <c r="B365" s="16">
        <f>DATEVALUE(Table1[[#This Row],[Date2]])</f>
        <v>45374</v>
      </c>
      <c r="C365" s="3" t="str">
        <f>TEXT(Table1[[#This Row],[Date]],"MMM")</f>
        <v>Mar</v>
      </c>
      <c r="D365" s="3" t="str">
        <f>"Q"&amp;ROUNDUP(MONTH(Table1[[#This Row],[Date]])/3,0)</f>
        <v>Q1</v>
      </c>
      <c r="E365" s="3">
        <f>YEAR(Table1[[#This Row],[Date]])</f>
        <v>2024</v>
      </c>
      <c r="F365" s="3" t="s">
        <v>18</v>
      </c>
      <c r="G365" s="3" t="s">
        <v>159</v>
      </c>
      <c r="H365" s="3" t="s">
        <v>20</v>
      </c>
      <c r="I365" s="3" t="s">
        <v>137</v>
      </c>
      <c r="J365" s="3">
        <v>20</v>
      </c>
      <c r="K365" s="3">
        <v>15000</v>
      </c>
      <c r="L365" s="3">
        <v>15</v>
      </c>
      <c r="M365" s="3">
        <v>255000</v>
      </c>
      <c r="N365" s="24">
        <f>(Table1[[#This Row],[Profit (PKR)]]/Table1[[#This Row],[Total Revenue (PKR)]])</f>
        <v>0.21568627450980393</v>
      </c>
      <c r="O365" s="3">
        <v>10000</v>
      </c>
      <c r="P365" s="3">
        <v>200000</v>
      </c>
      <c r="Q365" s="3">
        <v>55000</v>
      </c>
      <c r="R365" s="3" t="s">
        <v>22</v>
      </c>
      <c r="S365" s="3" t="str">
        <f>IF(AND(Table1[[#This Row],[Total Revenue (PKR)]]&gt;50000, Table1[[#This Row],[Discount %]]&lt;10),"High Value","Standard")</f>
        <v>Standard</v>
      </c>
      <c r="T365" s="3" t="s">
        <v>66</v>
      </c>
      <c r="U365" s="7" t="s">
        <v>95</v>
      </c>
      <c r="V365" s="20" t="s">
        <v>84</v>
      </c>
    </row>
    <row r="366" spans="1:22" x14ac:dyDescent="0.25">
      <c r="A366" s="4" t="s">
        <v>656</v>
      </c>
      <c r="B366" s="15">
        <f>DATEVALUE(Table1[[#This Row],[Date2]])</f>
        <v>45376</v>
      </c>
      <c r="C366" s="2" t="str">
        <f>TEXT(Table1[[#This Row],[Date]],"MMM")</f>
        <v>Mar</v>
      </c>
      <c r="D366" s="2" t="str">
        <f>"Q"&amp;ROUNDUP(MONTH(Table1[[#This Row],[Date]])/3,0)</f>
        <v>Q1</v>
      </c>
      <c r="E366" s="2">
        <f>YEAR(Table1[[#This Row],[Date]])</f>
        <v>2024</v>
      </c>
      <c r="F366" s="2" t="s">
        <v>47</v>
      </c>
      <c r="G366" s="2" t="s">
        <v>27</v>
      </c>
      <c r="H366" s="2" t="s">
        <v>34</v>
      </c>
      <c r="I366" s="2" t="s">
        <v>196</v>
      </c>
      <c r="J366" s="2">
        <v>4</v>
      </c>
      <c r="K366" s="2">
        <v>2500</v>
      </c>
      <c r="L366" s="2">
        <v>10</v>
      </c>
      <c r="M366" s="2">
        <v>9000</v>
      </c>
      <c r="N366" s="23">
        <f>(Table1[[#This Row],[Profit (PKR)]]/Table1[[#This Row],[Total Revenue (PKR)]])</f>
        <v>0.46666666666666667</v>
      </c>
      <c r="O366" s="2">
        <v>1200</v>
      </c>
      <c r="P366" s="2">
        <v>4800</v>
      </c>
      <c r="Q366" s="2">
        <v>4200</v>
      </c>
      <c r="R366" s="2" t="s">
        <v>22</v>
      </c>
      <c r="S366" s="2" t="str">
        <f>IF(AND(Table1[[#This Row],[Total Revenue (PKR)]]&gt;50000, Table1[[#This Row],[Discount %]]&lt;10),"High Value","Standard")</f>
        <v>Standard</v>
      </c>
      <c r="T366" s="2" t="s">
        <v>36</v>
      </c>
      <c r="U366" s="6" t="s">
        <v>44</v>
      </c>
      <c r="V366" s="19" t="s">
        <v>470</v>
      </c>
    </row>
    <row r="367" spans="1:22" x14ac:dyDescent="0.25">
      <c r="A367" s="5" t="s">
        <v>657</v>
      </c>
      <c r="B367" s="16">
        <f>DATEVALUE(Table1[[#This Row],[Date2]])</f>
        <v>45575</v>
      </c>
      <c r="C367" s="3" t="str">
        <f>TEXT(Table1[[#This Row],[Date]],"MMM")</f>
        <v>Oct</v>
      </c>
      <c r="D367" s="3" t="str">
        <f>"Q"&amp;ROUNDUP(MONTH(Table1[[#This Row],[Date]])/3,0)</f>
        <v>Q4</v>
      </c>
      <c r="E367" s="3">
        <f>YEAR(Table1[[#This Row],[Date]])</f>
        <v>2024</v>
      </c>
      <c r="F367" s="3" t="s">
        <v>63</v>
      </c>
      <c r="G367" s="3" t="s">
        <v>48</v>
      </c>
      <c r="H367" s="3" t="s">
        <v>20</v>
      </c>
      <c r="I367" s="3" t="s">
        <v>182</v>
      </c>
      <c r="J367" s="3">
        <v>8</v>
      </c>
      <c r="K367" s="3">
        <v>5000</v>
      </c>
      <c r="L367" s="3">
        <v>0</v>
      </c>
      <c r="M367" s="3">
        <v>40000</v>
      </c>
      <c r="N367" s="24">
        <f>(Table1[[#This Row],[Profit (PKR)]]/Table1[[#This Row],[Total Revenue (PKR)]])</f>
        <v>0.4</v>
      </c>
      <c r="O367" s="3">
        <v>3000</v>
      </c>
      <c r="P367" s="3">
        <v>24000</v>
      </c>
      <c r="Q367" s="3">
        <v>16000</v>
      </c>
      <c r="R367" s="3" t="s">
        <v>22</v>
      </c>
      <c r="S367" s="3" t="str">
        <f>IF(AND(Table1[[#This Row],[Total Revenue (PKR)]]&gt;50000, Table1[[#This Row],[Discount %]]&lt;10),"High Value","Standard")</f>
        <v>Standard</v>
      </c>
      <c r="T367" s="3" t="s">
        <v>66</v>
      </c>
      <c r="U367" s="7" t="s">
        <v>44</v>
      </c>
      <c r="V367" s="20" t="s">
        <v>136</v>
      </c>
    </row>
    <row r="368" spans="1:22" x14ac:dyDescent="0.25">
      <c r="A368" s="4" t="s">
        <v>658</v>
      </c>
      <c r="B368" s="15">
        <f>DATEVALUE(Table1[[#This Row],[Date2]])</f>
        <v>45543</v>
      </c>
      <c r="C368" s="2" t="str">
        <f>TEXT(Table1[[#This Row],[Date]],"MMM")</f>
        <v>Sep</v>
      </c>
      <c r="D368" s="2" t="str">
        <f>"Q"&amp;ROUNDUP(MONTH(Table1[[#This Row],[Date]])/3,0)</f>
        <v>Q3</v>
      </c>
      <c r="E368" s="2">
        <f>YEAR(Table1[[#This Row],[Date]])</f>
        <v>2024</v>
      </c>
      <c r="F368" s="2" t="s">
        <v>92</v>
      </c>
      <c r="G368" s="2" t="s">
        <v>19</v>
      </c>
      <c r="H368" s="2" t="s">
        <v>20</v>
      </c>
      <c r="I368" s="2" t="s">
        <v>65</v>
      </c>
      <c r="J368" s="2">
        <v>14</v>
      </c>
      <c r="K368" s="2">
        <v>18000</v>
      </c>
      <c r="L368" s="2">
        <v>0</v>
      </c>
      <c r="M368" s="2">
        <v>252000</v>
      </c>
      <c r="N368" s="23">
        <f>(Table1[[#This Row],[Profit (PKR)]]/Table1[[#This Row],[Total Revenue (PKR)]])</f>
        <v>0.33333333333333331</v>
      </c>
      <c r="O368" s="2">
        <v>12000</v>
      </c>
      <c r="P368" s="2">
        <v>168000</v>
      </c>
      <c r="Q368" s="2">
        <v>84000</v>
      </c>
      <c r="R368" s="2" t="s">
        <v>42</v>
      </c>
      <c r="S368" s="2" t="str">
        <f>IF(AND(Table1[[#This Row],[Total Revenue (PKR)]]&gt;50000, Table1[[#This Row],[Discount %]]&lt;10),"High Value","Standard")</f>
        <v>High Value</v>
      </c>
      <c r="T368" s="2" t="s">
        <v>23</v>
      </c>
      <c r="U368" s="6" t="s">
        <v>24</v>
      </c>
      <c r="V368" s="19" t="s">
        <v>245</v>
      </c>
    </row>
    <row r="369" spans="1:22" x14ac:dyDescent="0.25">
      <c r="A369" s="5" t="s">
        <v>659</v>
      </c>
      <c r="B369" s="16">
        <f>DATEVALUE(Table1[[#This Row],[Date2]])</f>
        <v>45537</v>
      </c>
      <c r="C369" s="3" t="str">
        <f>TEXT(Table1[[#This Row],[Date]],"MMM")</f>
        <v>Sep</v>
      </c>
      <c r="D369" s="3" t="str">
        <f>"Q"&amp;ROUNDUP(MONTH(Table1[[#This Row],[Date]])/3,0)</f>
        <v>Q3</v>
      </c>
      <c r="E369" s="3">
        <f>YEAR(Table1[[#This Row],[Date]])</f>
        <v>2024</v>
      </c>
      <c r="F369" s="3" t="s">
        <v>33</v>
      </c>
      <c r="G369" s="3" t="s">
        <v>159</v>
      </c>
      <c r="H369" s="3" t="s">
        <v>28</v>
      </c>
      <c r="I369" s="3" t="s">
        <v>116</v>
      </c>
      <c r="J369" s="3">
        <v>6</v>
      </c>
      <c r="K369" s="3">
        <v>85000</v>
      </c>
      <c r="L369" s="3">
        <v>25</v>
      </c>
      <c r="M369" s="3">
        <v>382500</v>
      </c>
      <c r="N369" s="24">
        <f>(Table1[[#This Row],[Profit (PKR)]]/Table1[[#This Row],[Total Revenue (PKR)]])</f>
        <v>-1.9607843137254902E-2</v>
      </c>
      <c r="O369" s="3">
        <v>65000</v>
      </c>
      <c r="P369" s="3">
        <v>390000</v>
      </c>
      <c r="Q369" s="3">
        <v>-7500</v>
      </c>
      <c r="R369" s="3" t="s">
        <v>42</v>
      </c>
      <c r="S369" s="3" t="str">
        <f>IF(AND(Table1[[#This Row],[Total Revenue (PKR)]]&gt;50000, Table1[[#This Row],[Discount %]]&lt;10),"High Value","Standard")</f>
        <v>Standard</v>
      </c>
      <c r="T369" s="3" t="s">
        <v>43</v>
      </c>
      <c r="U369" s="7" t="s">
        <v>44</v>
      </c>
      <c r="V369" s="20" t="s">
        <v>660</v>
      </c>
    </row>
    <row r="370" spans="1:22" x14ac:dyDescent="0.25">
      <c r="A370" s="4" t="s">
        <v>661</v>
      </c>
      <c r="B370" s="15">
        <f>DATEVALUE(Table1[[#This Row],[Date2]])</f>
        <v>45351</v>
      </c>
      <c r="C370" s="2" t="str">
        <f>TEXT(Table1[[#This Row],[Date]],"MMM")</f>
        <v>Feb</v>
      </c>
      <c r="D370" s="2" t="str">
        <f>"Q"&amp;ROUNDUP(MONTH(Table1[[#This Row],[Date]])/3,0)</f>
        <v>Q1</v>
      </c>
      <c r="E370" s="2">
        <f>YEAR(Table1[[#This Row],[Date]])</f>
        <v>2024</v>
      </c>
      <c r="F370" s="2" t="s">
        <v>39</v>
      </c>
      <c r="G370" s="2" t="s">
        <v>27</v>
      </c>
      <c r="H370" s="2" t="s">
        <v>93</v>
      </c>
      <c r="I370" s="2" t="s">
        <v>109</v>
      </c>
      <c r="J370" s="2">
        <v>9</v>
      </c>
      <c r="K370" s="2">
        <v>700</v>
      </c>
      <c r="L370" s="2">
        <v>0</v>
      </c>
      <c r="M370" s="2">
        <v>6300</v>
      </c>
      <c r="N370" s="23">
        <f>(Table1[[#This Row],[Profit (PKR)]]/Table1[[#This Row],[Total Revenue (PKR)]])</f>
        <v>0.2857142857142857</v>
      </c>
      <c r="O370" s="2">
        <v>500</v>
      </c>
      <c r="P370" s="2">
        <v>4500</v>
      </c>
      <c r="Q370" s="2">
        <v>1800</v>
      </c>
      <c r="R370" s="2" t="s">
        <v>42</v>
      </c>
      <c r="S370" s="2" t="str">
        <f>IF(AND(Table1[[#This Row],[Total Revenue (PKR)]]&gt;50000, Table1[[#This Row],[Discount %]]&lt;10),"High Value","Standard")</f>
        <v>Standard</v>
      </c>
      <c r="T370" s="2" t="s">
        <v>36</v>
      </c>
      <c r="U370" s="6" t="s">
        <v>44</v>
      </c>
      <c r="V370" s="19" t="s">
        <v>248</v>
      </c>
    </row>
    <row r="371" spans="1:22" x14ac:dyDescent="0.25">
      <c r="A371" s="5" t="s">
        <v>662</v>
      </c>
      <c r="B371" s="16">
        <f>DATEVALUE(Table1[[#This Row],[Date2]])</f>
        <v>45487</v>
      </c>
      <c r="C371" s="3" t="str">
        <f>TEXT(Table1[[#This Row],[Date]],"MMM")</f>
        <v>Jul</v>
      </c>
      <c r="D371" s="3" t="str">
        <f>"Q"&amp;ROUNDUP(MONTH(Table1[[#This Row],[Date]])/3,0)</f>
        <v>Q3</v>
      </c>
      <c r="E371" s="3">
        <f>YEAR(Table1[[#This Row],[Date]])</f>
        <v>2024</v>
      </c>
      <c r="F371" s="3" t="s">
        <v>100</v>
      </c>
      <c r="G371" s="3" t="s">
        <v>40</v>
      </c>
      <c r="H371" s="3" t="s">
        <v>93</v>
      </c>
      <c r="I371" s="3" t="s">
        <v>119</v>
      </c>
      <c r="J371" s="3">
        <v>9</v>
      </c>
      <c r="K371" s="3">
        <v>800</v>
      </c>
      <c r="L371" s="3">
        <v>15</v>
      </c>
      <c r="M371" s="3">
        <v>6120</v>
      </c>
      <c r="N371" s="24">
        <f>(Table1[[#This Row],[Profit (PKR)]]/Table1[[#This Row],[Total Revenue (PKR)]])</f>
        <v>0.11764705882352941</v>
      </c>
      <c r="O371" s="3">
        <v>600</v>
      </c>
      <c r="P371" s="3">
        <v>5400</v>
      </c>
      <c r="Q371" s="3">
        <v>720</v>
      </c>
      <c r="R371" s="3" t="s">
        <v>42</v>
      </c>
      <c r="S371" s="3" t="str">
        <f>IF(AND(Table1[[#This Row],[Total Revenue (PKR)]]&gt;50000, Table1[[#This Row],[Discount %]]&lt;10),"High Value","Standard")</f>
        <v>Standard</v>
      </c>
      <c r="T371" s="3" t="s">
        <v>55</v>
      </c>
      <c r="U371" s="7" t="s">
        <v>44</v>
      </c>
      <c r="V371" s="20" t="s">
        <v>368</v>
      </c>
    </row>
    <row r="372" spans="1:22" x14ac:dyDescent="0.25">
      <c r="A372" s="4" t="s">
        <v>663</v>
      </c>
      <c r="B372" s="15">
        <f>DATEVALUE(Table1[[#This Row],[Date2]])</f>
        <v>45429</v>
      </c>
      <c r="C372" s="2" t="str">
        <f>TEXT(Table1[[#This Row],[Date]],"MMM")</f>
        <v>May</v>
      </c>
      <c r="D372" s="2" t="str">
        <f>"Q"&amp;ROUNDUP(MONTH(Table1[[#This Row],[Date]])/3,0)</f>
        <v>Q2</v>
      </c>
      <c r="E372" s="2">
        <f>YEAR(Table1[[#This Row],[Date]])</f>
        <v>2024</v>
      </c>
      <c r="F372" s="2" t="s">
        <v>47</v>
      </c>
      <c r="G372" s="2" t="s">
        <v>19</v>
      </c>
      <c r="H372" s="2" t="s">
        <v>34</v>
      </c>
      <c r="I372" s="2" t="s">
        <v>196</v>
      </c>
      <c r="J372" s="2">
        <v>3</v>
      </c>
      <c r="K372" s="2">
        <v>2500</v>
      </c>
      <c r="L372" s="2">
        <v>25</v>
      </c>
      <c r="M372" s="2">
        <v>5625</v>
      </c>
      <c r="N372" s="23">
        <f>(Table1[[#This Row],[Profit (PKR)]]/Table1[[#This Row],[Total Revenue (PKR)]])</f>
        <v>0.36</v>
      </c>
      <c r="O372" s="2">
        <v>1200</v>
      </c>
      <c r="P372" s="2">
        <v>3600</v>
      </c>
      <c r="Q372" s="2">
        <v>2025</v>
      </c>
      <c r="R372" s="2" t="s">
        <v>42</v>
      </c>
      <c r="S372" s="2" t="str">
        <f>IF(AND(Table1[[#This Row],[Total Revenue (PKR)]]&gt;50000, Table1[[#This Row],[Discount %]]&lt;10),"High Value","Standard")</f>
        <v>Standard</v>
      </c>
      <c r="T372" s="2" t="s">
        <v>30</v>
      </c>
      <c r="U372" s="6" t="s">
        <v>44</v>
      </c>
      <c r="V372" s="19" t="s">
        <v>664</v>
      </c>
    </row>
    <row r="373" spans="1:22" x14ac:dyDescent="0.25">
      <c r="A373" s="5" t="s">
        <v>665</v>
      </c>
      <c r="B373" s="16">
        <f>DATEVALUE(Table1[[#This Row],[Date2]])</f>
        <v>45593</v>
      </c>
      <c r="C373" s="3" t="str">
        <f>TEXT(Table1[[#This Row],[Date]],"MMM")</f>
        <v>Oct</v>
      </c>
      <c r="D373" s="3" t="str">
        <f>"Q"&amp;ROUNDUP(MONTH(Table1[[#This Row],[Date]])/3,0)</f>
        <v>Q4</v>
      </c>
      <c r="E373" s="3">
        <f>YEAR(Table1[[#This Row],[Date]])</f>
        <v>2024</v>
      </c>
      <c r="F373" s="3" t="s">
        <v>33</v>
      </c>
      <c r="G373" s="3" t="s">
        <v>19</v>
      </c>
      <c r="H373" s="3" t="s">
        <v>93</v>
      </c>
      <c r="I373" s="3" t="s">
        <v>94</v>
      </c>
      <c r="J373" s="3">
        <v>14</v>
      </c>
      <c r="K373" s="3">
        <v>1200</v>
      </c>
      <c r="L373" s="3">
        <v>20</v>
      </c>
      <c r="M373" s="3">
        <v>13440</v>
      </c>
      <c r="N373" s="24">
        <f>(Table1[[#This Row],[Profit (PKR)]]/Table1[[#This Row],[Total Revenue (PKR)]])</f>
        <v>6.25E-2</v>
      </c>
      <c r="O373" s="3">
        <v>900</v>
      </c>
      <c r="P373" s="3">
        <v>12600</v>
      </c>
      <c r="Q373" s="3">
        <v>840</v>
      </c>
      <c r="R373" s="3" t="s">
        <v>42</v>
      </c>
      <c r="S373" s="3" t="str">
        <f>IF(AND(Table1[[#This Row],[Total Revenue (PKR)]]&gt;50000, Table1[[#This Row],[Discount %]]&lt;10),"High Value","Standard")</f>
        <v>Standard</v>
      </c>
      <c r="T373" s="3" t="s">
        <v>30</v>
      </c>
      <c r="U373" s="7" t="s">
        <v>86</v>
      </c>
      <c r="V373" s="20" t="s">
        <v>666</v>
      </c>
    </row>
    <row r="374" spans="1:22" x14ac:dyDescent="0.25">
      <c r="A374" s="4" t="s">
        <v>667</v>
      </c>
      <c r="B374" s="15">
        <f>DATEVALUE(Table1[[#This Row],[Date2]])</f>
        <v>45535</v>
      </c>
      <c r="C374" s="2" t="str">
        <f>TEXT(Table1[[#This Row],[Date]],"MMM")</f>
        <v>Aug</v>
      </c>
      <c r="D374" s="2" t="str">
        <f>"Q"&amp;ROUNDUP(MONTH(Table1[[#This Row],[Date]])/3,0)</f>
        <v>Q3</v>
      </c>
      <c r="E374" s="2">
        <f>YEAR(Table1[[#This Row],[Date]])</f>
        <v>2024</v>
      </c>
      <c r="F374" s="2" t="s">
        <v>39</v>
      </c>
      <c r="G374" s="2" t="s">
        <v>159</v>
      </c>
      <c r="H374" s="2" t="s">
        <v>93</v>
      </c>
      <c r="I374" s="2" t="s">
        <v>119</v>
      </c>
      <c r="J374" s="2">
        <v>17</v>
      </c>
      <c r="K374" s="2">
        <v>800</v>
      </c>
      <c r="L374" s="2">
        <v>20</v>
      </c>
      <c r="M374" s="2">
        <v>10880</v>
      </c>
      <c r="N374" s="23">
        <f>(Table1[[#This Row],[Profit (PKR)]]/Table1[[#This Row],[Total Revenue (PKR)]])</f>
        <v>6.25E-2</v>
      </c>
      <c r="O374" s="2">
        <v>600</v>
      </c>
      <c r="P374" s="2">
        <v>10200</v>
      </c>
      <c r="Q374" s="2">
        <v>680</v>
      </c>
      <c r="R374" s="2" t="s">
        <v>22</v>
      </c>
      <c r="S374" s="2" t="str">
        <f>IF(AND(Table1[[#This Row],[Total Revenue (PKR)]]&gt;50000, Table1[[#This Row],[Discount %]]&lt;10),"High Value","Standard")</f>
        <v>Standard</v>
      </c>
      <c r="T374" s="2" t="s">
        <v>43</v>
      </c>
      <c r="U374" s="6" t="s">
        <v>95</v>
      </c>
      <c r="V374" s="19" t="s">
        <v>179</v>
      </c>
    </row>
    <row r="375" spans="1:22" x14ac:dyDescent="0.25">
      <c r="A375" s="5" t="s">
        <v>668</v>
      </c>
      <c r="B375" s="16">
        <f>DATEVALUE(Table1[[#This Row],[Date2]])</f>
        <v>45521</v>
      </c>
      <c r="C375" s="3" t="str">
        <f>TEXT(Table1[[#This Row],[Date]],"MMM")</f>
        <v>Aug</v>
      </c>
      <c r="D375" s="3" t="str">
        <f>"Q"&amp;ROUNDUP(MONTH(Table1[[#This Row],[Date]])/3,0)</f>
        <v>Q3</v>
      </c>
      <c r="E375" s="3">
        <f>YEAR(Table1[[#This Row],[Date]])</f>
        <v>2024</v>
      </c>
      <c r="F375" s="3" t="s">
        <v>92</v>
      </c>
      <c r="G375" s="3" t="s">
        <v>40</v>
      </c>
      <c r="H375" s="3" t="s">
        <v>34</v>
      </c>
      <c r="I375" s="3" t="s">
        <v>146</v>
      </c>
      <c r="J375" s="3">
        <v>5</v>
      </c>
      <c r="K375" s="3">
        <v>3500</v>
      </c>
      <c r="L375" s="3">
        <v>0</v>
      </c>
      <c r="M375" s="3">
        <v>17500</v>
      </c>
      <c r="N375" s="24">
        <f>(Table1[[#This Row],[Profit (PKR)]]/Table1[[#This Row],[Total Revenue (PKR)]])</f>
        <v>0.48571428571428571</v>
      </c>
      <c r="O375" s="3">
        <v>1800</v>
      </c>
      <c r="P375" s="3">
        <v>9000</v>
      </c>
      <c r="Q375" s="3">
        <v>8500</v>
      </c>
      <c r="R375" s="3" t="s">
        <v>42</v>
      </c>
      <c r="S375" s="3" t="str">
        <f>IF(AND(Table1[[#This Row],[Total Revenue (PKR)]]&gt;50000, Table1[[#This Row],[Discount %]]&lt;10),"High Value","Standard")</f>
        <v>Standard</v>
      </c>
      <c r="T375" s="3" t="s">
        <v>43</v>
      </c>
      <c r="U375" s="7" t="s">
        <v>56</v>
      </c>
      <c r="V375" s="20" t="s">
        <v>366</v>
      </c>
    </row>
    <row r="376" spans="1:22" x14ac:dyDescent="0.25">
      <c r="A376" s="4" t="s">
        <v>669</v>
      </c>
      <c r="B376" s="15">
        <f>DATEVALUE(Table1[[#This Row],[Date2]])</f>
        <v>45514</v>
      </c>
      <c r="C376" s="2" t="str">
        <f>TEXT(Table1[[#This Row],[Date]],"MMM")</f>
        <v>Aug</v>
      </c>
      <c r="D376" s="2" t="str">
        <f>"Q"&amp;ROUNDUP(MONTH(Table1[[#This Row],[Date]])/3,0)</f>
        <v>Q3</v>
      </c>
      <c r="E376" s="2">
        <f>YEAR(Table1[[#This Row],[Date]])</f>
        <v>2024</v>
      </c>
      <c r="F376" s="2" t="s">
        <v>33</v>
      </c>
      <c r="G376" s="2" t="s">
        <v>40</v>
      </c>
      <c r="H376" s="2" t="s">
        <v>53</v>
      </c>
      <c r="I376" s="2" t="s">
        <v>85</v>
      </c>
      <c r="J376" s="2">
        <v>11</v>
      </c>
      <c r="K376" s="2">
        <v>1500</v>
      </c>
      <c r="L376" s="2">
        <v>25</v>
      </c>
      <c r="M376" s="2">
        <v>12375</v>
      </c>
      <c r="N376" s="23">
        <f>(Table1[[#This Row],[Profit (PKR)]]/Table1[[#This Row],[Total Revenue (PKR)]])</f>
        <v>0.28888888888888886</v>
      </c>
      <c r="O376" s="2">
        <v>800</v>
      </c>
      <c r="P376" s="2">
        <v>8800</v>
      </c>
      <c r="Q376" s="2">
        <v>3575</v>
      </c>
      <c r="R376" s="2" t="s">
        <v>22</v>
      </c>
      <c r="S376" s="2" t="str">
        <f>IF(AND(Table1[[#This Row],[Total Revenue (PKR)]]&gt;50000, Table1[[#This Row],[Discount %]]&lt;10),"High Value","Standard")</f>
        <v>Standard</v>
      </c>
      <c r="T376" s="2" t="s">
        <v>43</v>
      </c>
      <c r="U376" s="6" t="s">
        <v>44</v>
      </c>
      <c r="V376" s="19" t="s">
        <v>529</v>
      </c>
    </row>
    <row r="377" spans="1:22" x14ac:dyDescent="0.25">
      <c r="A377" s="5" t="s">
        <v>670</v>
      </c>
      <c r="B377" s="16">
        <f>DATEVALUE(Table1[[#This Row],[Date2]])</f>
        <v>45495</v>
      </c>
      <c r="C377" s="3" t="str">
        <f>TEXT(Table1[[#This Row],[Date]],"MMM")</f>
        <v>Jul</v>
      </c>
      <c r="D377" s="3" t="str">
        <f>"Q"&amp;ROUNDUP(MONTH(Table1[[#This Row],[Date]])/3,0)</f>
        <v>Q3</v>
      </c>
      <c r="E377" s="3">
        <f>YEAR(Table1[[#This Row],[Date]])</f>
        <v>2024</v>
      </c>
      <c r="F377" s="3" t="s">
        <v>63</v>
      </c>
      <c r="G377" s="3" t="s">
        <v>52</v>
      </c>
      <c r="H377" s="3" t="s">
        <v>20</v>
      </c>
      <c r="I377" s="3" t="s">
        <v>137</v>
      </c>
      <c r="J377" s="3">
        <v>15</v>
      </c>
      <c r="K377" s="3">
        <v>15000</v>
      </c>
      <c r="L377" s="3">
        <v>0</v>
      </c>
      <c r="M377" s="3">
        <v>225000</v>
      </c>
      <c r="N377" s="24">
        <f>(Table1[[#This Row],[Profit (PKR)]]/Table1[[#This Row],[Total Revenue (PKR)]])</f>
        <v>0.33333333333333331</v>
      </c>
      <c r="O377" s="3">
        <v>10000</v>
      </c>
      <c r="P377" s="3">
        <v>150000</v>
      </c>
      <c r="Q377" s="3">
        <v>75000</v>
      </c>
      <c r="R377" s="3" t="s">
        <v>42</v>
      </c>
      <c r="S377" s="3" t="str">
        <f>IF(AND(Table1[[#This Row],[Total Revenue (PKR)]]&gt;50000, Table1[[#This Row],[Discount %]]&lt;10),"High Value","Standard")</f>
        <v>High Value</v>
      </c>
      <c r="T377" s="3" t="s">
        <v>43</v>
      </c>
      <c r="U377" s="7" t="s">
        <v>44</v>
      </c>
      <c r="V377" s="20" t="s">
        <v>671</v>
      </c>
    </row>
    <row r="378" spans="1:22" x14ac:dyDescent="0.25">
      <c r="A378" s="4" t="s">
        <v>672</v>
      </c>
      <c r="B378" s="15">
        <f>DATEVALUE(Table1[[#This Row],[Date2]])</f>
        <v>45367</v>
      </c>
      <c r="C378" s="2" t="str">
        <f>TEXT(Table1[[#This Row],[Date]],"MMM")</f>
        <v>Mar</v>
      </c>
      <c r="D378" s="2" t="str">
        <f>"Q"&amp;ROUNDUP(MONTH(Table1[[#This Row],[Date]])/3,0)</f>
        <v>Q1</v>
      </c>
      <c r="E378" s="2">
        <f>YEAR(Table1[[#This Row],[Date]])</f>
        <v>2024</v>
      </c>
      <c r="F378" s="2" t="s">
        <v>47</v>
      </c>
      <c r="G378" s="2" t="s">
        <v>159</v>
      </c>
      <c r="H378" s="2" t="s">
        <v>28</v>
      </c>
      <c r="I378" s="2" t="s">
        <v>127</v>
      </c>
      <c r="J378" s="2">
        <v>4</v>
      </c>
      <c r="K378" s="2">
        <v>15000</v>
      </c>
      <c r="L378" s="2">
        <v>10</v>
      </c>
      <c r="M378" s="2">
        <v>54000</v>
      </c>
      <c r="N378" s="23">
        <f>(Table1[[#This Row],[Profit (PKR)]]/Table1[[#This Row],[Total Revenue (PKR)]])</f>
        <v>0.25925925925925924</v>
      </c>
      <c r="O378" s="2">
        <v>10000</v>
      </c>
      <c r="P378" s="2">
        <v>40000</v>
      </c>
      <c r="Q378" s="2">
        <v>14000</v>
      </c>
      <c r="R378" s="2" t="s">
        <v>42</v>
      </c>
      <c r="S378" s="2" t="str">
        <f>IF(AND(Table1[[#This Row],[Total Revenue (PKR)]]&gt;50000, Table1[[#This Row],[Discount %]]&lt;10),"High Value","Standard")</f>
        <v>Standard</v>
      </c>
      <c r="T378" s="2" t="s">
        <v>66</v>
      </c>
      <c r="U378" s="6" t="s">
        <v>44</v>
      </c>
      <c r="V378" s="19" t="s">
        <v>673</v>
      </c>
    </row>
    <row r="379" spans="1:22" x14ac:dyDescent="0.25">
      <c r="A379" s="5" t="s">
        <v>674</v>
      </c>
      <c r="B379" s="16">
        <f>DATEVALUE(Table1[[#This Row],[Date2]])</f>
        <v>45627</v>
      </c>
      <c r="C379" s="3" t="str">
        <f>TEXT(Table1[[#This Row],[Date]],"MMM")</f>
        <v>Dec</v>
      </c>
      <c r="D379" s="3" t="str">
        <f>"Q"&amp;ROUNDUP(MONTH(Table1[[#This Row],[Date]])/3,0)</f>
        <v>Q4</v>
      </c>
      <c r="E379" s="3">
        <f>YEAR(Table1[[#This Row],[Date]])</f>
        <v>2024</v>
      </c>
      <c r="F379" s="3" t="s">
        <v>122</v>
      </c>
      <c r="G379" s="3" t="s">
        <v>74</v>
      </c>
      <c r="H379" s="3" t="s">
        <v>28</v>
      </c>
      <c r="I379" s="3" t="s">
        <v>116</v>
      </c>
      <c r="J379" s="3">
        <v>9</v>
      </c>
      <c r="K379" s="3">
        <v>85000</v>
      </c>
      <c r="L379" s="3">
        <v>15</v>
      </c>
      <c r="M379" s="3">
        <v>650250</v>
      </c>
      <c r="N379" s="24">
        <f>(Table1[[#This Row],[Profit (PKR)]]/Table1[[#This Row],[Total Revenue (PKR)]])</f>
        <v>0.10034602076124567</v>
      </c>
      <c r="O379" s="3">
        <v>65000</v>
      </c>
      <c r="P379" s="3">
        <v>585000</v>
      </c>
      <c r="Q379" s="3">
        <v>65250</v>
      </c>
      <c r="R379" s="3" t="s">
        <v>22</v>
      </c>
      <c r="S379" s="3" t="str">
        <f>IF(AND(Table1[[#This Row],[Total Revenue (PKR)]]&gt;50000, Table1[[#This Row],[Discount %]]&lt;10),"High Value","Standard")</f>
        <v>Standard</v>
      </c>
      <c r="T379" s="3" t="s">
        <v>30</v>
      </c>
      <c r="U379" s="7" t="s">
        <v>24</v>
      </c>
      <c r="V379" s="20" t="s">
        <v>675</v>
      </c>
    </row>
    <row r="380" spans="1:22" x14ac:dyDescent="0.25">
      <c r="A380" s="4" t="s">
        <v>676</v>
      </c>
      <c r="B380" s="15">
        <f>DATEVALUE(Table1[[#This Row],[Date2]])</f>
        <v>45647</v>
      </c>
      <c r="C380" s="2" t="str">
        <f>TEXT(Table1[[#This Row],[Date]],"MMM")</f>
        <v>Dec</v>
      </c>
      <c r="D380" s="2" t="str">
        <f>"Q"&amp;ROUNDUP(MONTH(Table1[[#This Row],[Date]])/3,0)</f>
        <v>Q4</v>
      </c>
      <c r="E380" s="2">
        <f>YEAR(Table1[[#This Row],[Date]])</f>
        <v>2024</v>
      </c>
      <c r="F380" s="2" t="s">
        <v>77</v>
      </c>
      <c r="G380" s="2" t="s">
        <v>19</v>
      </c>
      <c r="H380" s="2" t="s">
        <v>93</v>
      </c>
      <c r="I380" s="2" t="s">
        <v>98</v>
      </c>
      <c r="J380" s="2">
        <v>8</v>
      </c>
      <c r="K380" s="2">
        <v>400</v>
      </c>
      <c r="L380" s="2">
        <v>0</v>
      </c>
      <c r="M380" s="2">
        <v>3200</v>
      </c>
      <c r="N380" s="23">
        <f>(Table1[[#This Row],[Profit (PKR)]]/Table1[[#This Row],[Total Revenue (PKR)]])</f>
        <v>0.3</v>
      </c>
      <c r="O380" s="2">
        <v>280</v>
      </c>
      <c r="P380" s="2">
        <v>2240</v>
      </c>
      <c r="Q380" s="2">
        <v>960</v>
      </c>
      <c r="R380" s="2" t="s">
        <v>42</v>
      </c>
      <c r="S380" s="2" t="str">
        <f>IF(AND(Table1[[#This Row],[Total Revenue (PKR)]]&gt;50000, Table1[[#This Row],[Discount %]]&lt;10),"High Value","Standard")</f>
        <v>Standard</v>
      </c>
      <c r="T380" s="2" t="s">
        <v>55</v>
      </c>
      <c r="U380" s="6" t="s">
        <v>86</v>
      </c>
      <c r="V380" s="19" t="s">
        <v>184</v>
      </c>
    </row>
    <row r="381" spans="1:22" x14ac:dyDescent="0.25">
      <c r="A381" s="5" t="s">
        <v>677</v>
      </c>
      <c r="B381" s="16">
        <f>DATEVALUE(Table1[[#This Row],[Date2]])</f>
        <v>45302</v>
      </c>
      <c r="C381" s="3" t="str">
        <f>TEXT(Table1[[#This Row],[Date]],"MMM")</f>
        <v>Jan</v>
      </c>
      <c r="D381" s="3" t="str">
        <f>"Q"&amp;ROUNDUP(MONTH(Table1[[#This Row],[Date]])/3,0)</f>
        <v>Q1</v>
      </c>
      <c r="E381" s="3">
        <f>YEAR(Table1[[#This Row],[Date]])</f>
        <v>2024</v>
      </c>
      <c r="F381" s="3" t="s">
        <v>100</v>
      </c>
      <c r="G381" s="3" t="s">
        <v>48</v>
      </c>
      <c r="H381" s="3" t="s">
        <v>20</v>
      </c>
      <c r="I381" s="3" t="s">
        <v>182</v>
      </c>
      <c r="J381" s="3">
        <v>16</v>
      </c>
      <c r="K381" s="3">
        <v>5000</v>
      </c>
      <c r="L381" s="3">
        <v>25</v>
      </c>
      <c r="M381" s="3">
        <v>60000</v>
      </c>
      <c r="N381" s="24">
        <f>(Table1[[#This Row],[Profit (PKR)]]/Table1[[#This Row],[Total Revenue (PKR)]])</f>
        <v>0.2</v>
      </c>
      <c r="O381" s="3">
        <v>3000</v>
      </c>
      <c r="P381" s="3">
        <v>48000</v>
      </c>
      <c r="Q381" s="3">
        <v>12000</v>
      </c>
      <c r="R381" s="3" t="s">
        <v>22</v>
      </c>
      <c r="S381" s="3" t="str">
        <f>IF(AND(Table1[[#This Row],[Total Revenue (PKR)]]&gt;50000, Table1[[#This Row],[Discount %]]&lt;10),"High Value","Standard")</f>
        <v>Standard</v>
      </c>
      <c r="T381" s="3" t="s">
        <v>36</v>
      </c>
      <c r="U381" s="7" t="s">
        <v>44</v>
      </c>
      <c r="V381" s="20" t="s">
        <v>678</v>
      </c>
    </row>
    <row r="382" spans="1:22" x14ac:dyDescent="0.25">
      <c r="A382" s="4" t="s">
        <v>679</v>
      </c>
      <c r="B382" s="15">
        <f>DATEVALUE(Table1[[#This Row],[Date2]])</f>
        <v>45518</v>
      </c>
      <c r="C382" s="2" t="str">
        <f>TEXT(Table1[[#This Row],[Date]],"MMM")</f>
        <v>Aug</v>
      </c>
      <c r="D382" s="2" t="str">
        <f>"Q"&amp;ROUNDUP(MONTH(Table1[[#This Row],[Date]])/3,0)</f>
        <v>Q3</v>
      </c>
      <c r="E382" s="2">
        <f>YEAR(Table1[[#This Row],[Date]])</f>
        <v>2024</v>
      </c>
      <c r="F382" s="2" t="s">
        <v>100</v>
      </c>
      <c r="G382" s="2" t="s">
        <v>48</v>
      </c>
      <c r="H382" s="2" t="s">
        <v>93</v>
      </c>
      <c r="I382" s="2" t="s">
        <v>94</v>
      </c>
      <c r="J382" s="2">
        <v>3</v>
      </c>
      <c r="K382" s="2">
        <v>1200</v>
      </c>
      <c r="L382" s="2">
        <v>5</v>
      </c>
      <c r="M382" s="2">
        <v>3420</v>
      </c>
      <c r="N382" s="23">
        <f>(Table1[[#This Row],[Profit (PKR)]]/Table1[[#This Row],[Total Revenue (PKR)]])</f>
        <v>0.21052631578947367</v>
      </c>
      <c r="O382" s="2">
        <v>900</v>
      </c>
      <c r="P382" s="2">
        <v>2700</v>
      </c>
      <c r="Q382" s="2">
        <v>720</v>
      </c>
      <c r="R382" s="2" t="s">
        <v>42</v>
      </c>
      <c r="S382" s="2" t="str">
        <f>IF(AND(Table1[[#This Row],[Total Revenue (PKR)]]&gt;50000, Table1[[#This Row],[Discount %]]&lt;10),"High Value","Standard")</f>
        <v>Standard</v>
      </c>
      <c r="T382" s="2" t="s">
        <v>36</v>
      </c>
      <c r="U382" s="6" t="s">
        <v>95</v>
      </c>
      <c r="V382" s="19" t="s">
        <v>680</v>
      </c>
    </row>
    <row r="383" spans="1:22" x14ac:dyDescent="0.25">
      <c r="A383" s="5" t="s">
        <v>681</v>
      </c>
      <c r="B383" s="16">
        <f>DATEVALUE(Table1[[#This Row],[Date2]])</f>
        <v>45500</v>
      </c>
      <c r="C383" s="3" t="str">
        <f>TEXT(Table1[[#This Row],[Date]],"MMM")</f>
        <v>Jul</v>
      </c>
      <c r="D383" s="3" t="str">
        <f>"Q"&amp;ROUNDUP(MONTH(Table1[[#This Row],[Date]])/3,0)</f>
        <v>Q3</v>
      </c>
      <c r="E383" s="3">
        <f>YEAR(Table1[[#This Row],[Date]])</f>
        <v>2024</v>
      </c>
      <c r="F383" s="3" t="s">
        <v>122</v>
      </c>
      <c r="G383" s="3" t="s">
        <v>52</v>
      </c>
      <c r="H383" s="3" t="s">
        <v>28</v>
      </c>
      <c r="I383" s="3" t="s">
        <v>127</v>
      </c>
      <c r="J383" s="3">
        <v>6</v>
      </c>
      <c r="K383" s="3">
        <v>15000</v>
      </c>
      <c r="L383" s="3">
        <v>0</v>
      </c>
      <c r="M383" s="3">
        <v>90000</v>
      </c>
      <c r="N383" s="24">
        <f>(Table1[[#This Row],[Profit (PKR)]]/Table1[[#This Row],[Total Revenue (PKR)]])</f>
        <v>0.33333333333333331</v>
      </c>
      <c r="O383" s="3">
        <v>10000</v>
      </c>
      <c r="P383" s="3">
        <v>60000</v>
      </c>
      <c r="Q383" s="3">
        <v>30000</v>
      </c>
      <c r="R383" s="3" t="s">
        <v>42</v>
      </c>
      <c r="S383" s="3" t="str">
        <f>IF(AND(Table1[[#This Row],[Total Revenue (PKR)]]&gt;50000, Table1[[#This Row],[Discount %]]&lt;10),"High Value","Standard")</f>
        <v>High Value</v>
      </c>
      <c r="T383" s="3" t="s">
        <v>23</v>
      </c>
      <c r="U383" s="7" t="s">
        <v>44</v>
      </c>
      <c r="V383" s="20" t="s">
        <v>682</v>
      </c>
    </row>
    <row r="384" spans="1:22" x14ac:dyDescent="0.25">
      <c r="A384" s="4" t="s">
        <v>683</v>
      </c>
      <c r="B384" s="15">
        <f>DATEVALUE(Table1[[#This Row],[Date2]])</f>
        <v>45361</v>
      </c>
      <c r="C384" s="2" t="str">
        <f>TEXT(Table1[[#This Row],[Date]],"MMM")</f>
        <v>Mar</v>
      </c>
      <c r="D384" s="2" t="str">
        <f>"Q"&amp;ROUNDUP(MONTH(Table1[[#This Row],[Date]])/3,0)</f>
        <v>Q1</v>
      </c>
      <c r="E384" s="2">
        <f>YEAR(Table1[[#This Row],[Date]])</f>
        <v>2024</v>
      </c>
      <c r="F384" s="2" t="s">
        <v>63</v>
      </c>
      <c r="G384" s="2" t="s">
        <v>19</v>
      </c>
      <c r="H384" s="2" t="s">
        <v>34</v>
      </c>
      <c r="I384" s="2" t="s">
        <v>146</v>
      </c>
      <c r="J384" s="2">
        <v>7</v>
      </c>
      <c r="K384" s="2">
        <v>3500</v>
      </c>
      <c r="L384" s="2">
        <v>0</v>
      </c>
      <c r="M384" s="2">
        <v>24500</v>
      </c>
      <c r="N384" s="23">
        <f>(Table1[[#This Row],[Profit (PKR)]]/Table1[[#This Row],[Total Revenue (PKR)]])</f>
        <v>0.48571428571428571</v>
      </c>
      <c r="O384" s="2">
        <v>1800</v>
      </c>
      <c r="P384" s="2">
        <v>12600</v>
      </c>
      <c r="Q384" s="2">
        <v>11900</v>
      </c>
      <c r="R384" s="2" t="s">
        <v>22</v>
      </c>
      <c r="S384" s="2" t="str">
        <f>IF(AND(Table1[[#This Row],[Total Revenue (PKR)]]&gt;50000, Table1[[#This Row],[Discount %]]&lt;10),"High Value","Standard")</f>
        <v>Standard</v>
      </c>
      <c r="T384" s="2" t="s">
        <v>43</v>
      </c>
      <c r="U384" s="6" t="s">
        <v>44</v>
      </c>
      <c r="V384" s="19" t="s">
        <v>645</v>
      </c>
    </row>
    <row r="385" spans="1:22" x14ac:dyDescent="0.25">
      <c r="A385" s="5" t="s">
        <v>684</v>
      </c>
      <c r="B385" s="16">
        <f>DATEVALUE(Table1[[#This Row],[Date2]])</f>
        <v>45476</v>
      </c>
      <c r="C385" s="3" t="str">
        <f>TEXT(Table1[[#This Row],[Date]],"MMM")</f>
        <v>Jul</v>
      </c>
      <c r="D385" s="3" t="str">
        <f>"Q"&amp;ROUNDUP(MONTH(Table1[[#This Row],[Date]])/3,0)</f>
        <v>Q3</v>
      </c>
      <c r="E385" s="3">
        <f>YEAR(Table1[[#This Row],[Date]])</f>
        <v>2024</v>
      </c>
      <c r="F385" s="3" t="s">
        <v>33</v>
      </c>
      <c r="G385" s="3" t="s">
        <v>48</v>
      </c>
      <c r="H385" s="3" t="s">
        <v>20</v>
      </c>
      <c r="I385" s="3" t="s">
        <v>59</v>
      </c>
      <c r="J385" s="3">
        <v>17</v>
      </c>
      <c r="K385" s="3">
        <v>12000</v>
      </c>
      <c r="L385" s="3">
        <v>15</v>
      </c>
      <c r="M385" s="3">
        <v>173400</v>
      </c>
      <c r="N385" s="24">
        <f>(Table1[[#This Row],[Profit (PKR)]]/Table1[[#This Row],[Total Revenue (PKR)]])</f>
        <v>0.21568627450980393</v>
      </c>
      <c r="O385" s="3">
        <v>8000</v>
      </c>
      <c r="P385" s="3">
        <v>136000</v>
      </c>
      <c r="Q385" s="3">
        <v>37400</v>
      </c>
      <c r="R385" s="3" t="s">
        <v>22</v>
      </c>
      <c r="S385" s="3" t="str">
        <f>IF(AND(Table1[[#This Row],[Total Revenue (PKR)]]&gt;50000, Table1[[#This Row],[Discount %]]&lt;10),"High Value","Standard")</f>
        <v>Standard</v>
      </c>
      <c r="T385" s="3" t="s">
        <v>23</v>
      </c>
      <c r="U385" s="7" t="s">
        <v>44</v>
      </c>
      <c r="V385" s="20" t="s">
        <v>602</v>
      </c>
    </row>
    <row r="386" spans="1:22" x14ac:dyDescent="0.25">
      <c r="A386" s="4" t="s">
        <v>685</v>
      </c>
      <c r="B386" s="15">
        <f>DATEVALUE(Table1[[#This Row],[Date2]])</f>
        <v>45482</v>
      </c>
      <c r="C386" s="2" t="str">
        <f>TEXT(Table1[[#This Row],[Date]],"MMM")</f>
        <v>Jul</v>
      </c>
      <c r="D386" s="2" t="str">
        <f>"Q"&amp;ROUNDUP(MONTH(Table1[[#This Row],[Date]])/3,0)</f>
        <v>Q3</v>
      </c>
      <c r="E386" s="2">
        <f>YEAR(Table1[[#This Row],[Date]])</f>
        <v>2024</v>
      </c>
      <c r="F386" s="2" t="s">
        <v>122</v>
      </c>
      <c r="G386" s="2" t="s">
        <v>74</v>
      </c>
      <c r="H386" s="2" t="s">
        <v>34</v>
      </c>
      <c r="I386" s="2" t="s">
        <v>35</v>
      </c>
      <c r="J386" s="2">
        <v>19</v>
      </c>
      <c r="K386" s="2">
        <v>6000</v>
      </c>
      <c r="L386" s="2">
        <v>20</v>
      </c>
      <c r="M386" s="2">
        <v>91200</v>
      </c>
      <c r="N386" s="23">
        <f>(Table1[[#This Row],[Profit (PKR)]]/Table1[[#This Row],[Total Revenue (PKR)]])</f>
        <v>0.27083333333333331</v>
      </c>
      <c r="O386" s="2">
        <v>3500</v>
      </c>
      <c r="P386" s="2">
        <v>66500</v>
      </c>
      <c r="Q386" s="2">
        <v>24700</v>
      </c>
      <c r="R386" s="2" t="s">
        <v>42</v>
      </c>
      <c r="S386" s="2" t="str">
        <f>IF(AND(Table1[[#This Row],[Total Revenue (PKR)]]&gt;50000, Table1[[#This Row],[Discount %]]&lt;10),"High Value","Standard")</f>
        <v>Standard</v>
      </c>
      <c r="T386" s="2" t="s">
        <v>55</v>
      </c>
      <c r="U386" s="6" t="s">
        <v>44</v>
      </c>
      <c r="V386" s="19" t="s">
        <v>370</v>
      </c>
    </row>
    <row r="387" spans="1:22" x14ac:dyDescent="0.25">
      <c r="A387" s="5" t="s">
        <v>686</v>
      </c>
      <c r="B387" s="16">
        <f>DATEVALUE(Table1[[#This Row],[Date2]])</f>
        <v>45424</v>
      </c>
      <c r="C387" s="3" t="str">
        <f>TEXT(Table1[[#This Row],[Date]],"MMM")</f>
        <v>May</v>
      </c>
      <c r="D387" s="3" t="str">
        <f>"Q"&amp;ROUNDUP(MONTH(Table1[[#This Row],[Date]])/3,0)</f>
        <v>Q2</v>
      </c>
      <c r="E387" s="3">
        <f>YEAR(Table1[[#This Row],[Date]])</f>
        <v>2024</v>
      </c>
      <c r="F387" s="3" t="s">
        <v>18</v>
      </c>
      <c r="G387" s="3" t="s">
        <v>48</v>
      </c>
      <c r="H387" s="3" t="s">
        <v>28</v>
      </c>
      <c r="I387" s="3" t="s">
        <v>49</v>
      </c>
      <c r="J387" s="3">
        <v>2</v>
      </c>
      <c r="K387" s="3">
        <v>5000</v>
      </c>
      <c r="L387" s="3">
        <v>5</v>
      </c>
      <c r="M387" s="3">
        <v>9500</v>
      </c>
      <c r="N387" s="24">
        <f>(Table1[[#This Row],[Profit (PKR)]]/Table1[[#This Row],[Total Revenue (PKR)]])</f>
        <v>0.36842105263157893</v>
      </c>
      <c r="O387" s="3">
        <v>3000</v>
      </c>
      <c r="P387" s="3">
        <v>6000</v>
      </c>
      <c r="Q387" s="3">
        <v>3500</v>
      </c>
      <c r="R387" s="3" t="s">
        <v>22</v>
      </c>
      <c r="S387" s="3" t="str">
        <f>IF(AND(Table1[[#This Row],[Total Revenue (PKR)]]&gt;50000, Table1[[#This Row],[Discount %]]&lt;10),"High Value","Standard")</f>
        <v>Standard</v>
      </c>
      <c r="T387" s="3" t="s">
        <v>36</v>
      </c>
      <c r="U387" s="7" t="s">
        <v>24</v>
      </c>
      <c r="V387" s="20" t="s">
        <v>687</v>
      </c>
    </row>
    <row r="388" spans="1:22" x14ac:dyDescent="0.25">
      <c r="A388" s="4" t="s">
        <v>688</v>
      </c>
      <c r="B388" s="15">
        <f>DATEVALUE(Table1[[#This Row],[Date2]])</f>
        <v>45638</v>
      </c>
      <c r="C388" s="2" t="str">
        <f>TEXT(Table1[[#This Row],[Date]],"MMM")</f>
        <v>Dec</v>
      </c>
      <c r="D388" s="2" t="str">
        <f>"Q"&amp;ROUNDUP(MONTH(Table1[[#This Row],[Date]])/3,0)</f>
        <v>Q4</v>
      </c>
      <c r="E388" s="2">
        <f>YEAR(Table1[[#This Row],[Date]])</f>
        <v>2024</v>
      </c>
      <c r="F388" s="2" t="s">
        <v>33</v>
      </c>
      <c r="G388" s="2" t="s">
        <v>48</v>
      </c>
      <c r="H388" s="2" t="s">
        <v>93</v>
      </c>
      <c r="I388" s="2" t="s">
        <v>94</v>
      </c>
      <c r="J388" s="2">
        <v>1</v>
      </c>
      <c r="K388" s="2">
        <v>1200</v>
      </c>
      <c r="L388" s="2">
        <v>25</v>
      </c>
      <c r="M388" s="2">
        <v>900</v>
      </c>
      <c r="N388" s="23">
        <f>(Table1[[#This Row],[Profit (PKR)]]/Table1[[#This Row],[Total Revenue (PKR)]])</f>
        <v>0</v>
      </c>
      <c r="O388" s="2">
        <v>900</v>
      </c>
      <c r="P388" s="2">
        <v>900</v>
      </c>
      <c r="Q388" s="2">
        <v>0</v>
      </c>
      <c r="R388" s="2" t="s">
        <v>22</v>
      </c>
      <c r="S388" s="2" t="str">
        <f>IF(AND(Table1[[#This Row],[Total Revenue (PKR)]]&gt;50000, Table1[[#This Row],[Discount %]]&lt;10),"High Value","Standard")</f>
        <v>Standard</v>
      </c>
      <c r="T388" s="2" t="s">
        <v>66</v>
      </c>
      <c r="U388" s="6" t="s">
        <v>95</v>
      </c>
      <c r="V388" s="19" t="s">
        <v>571</v>
      </c>
    </row>
    <row r="389" spans="1:22" x14ac:dyDescent="0.25">
      <c r="A389" s="5" t="s">
        <v>689</v>
      </c>
      <c r="B389" s="16">
        <f>DATEVALUE(Table1[[#This Row],[Date2]])</f>
        <v>45623</v>
      </c>
      <c r="C389" s="3" t="str">
        <f>TEXT(Table1[[#This Row],[Date]],"MMM")</f>
        <v>Nov</v>
      </c>
      <c r="D389" s="3" t="str">
        <f>"Q"&amp;ROUNDUP(MONTH(Table1[[#This Row],[Date]])/3,0)</f>
        <v>Q4</v>
      </c>
      <c r="E389" s="3">
        <f>YEAR(Table1[[#This Row],[Date]])</f>
        <v>2024</v>
      </c>
      <c r="F389" s="3" t="s">
        <v>92</v>
      </c>
      <c r="G389" s="3" t="s">
        <v>19</v>
      </c>
      <c r="H389" s="3" t="s">
        <v>34</v>
      </c>
      <c r="I389" s="3" t="s">
        <v>41</v>
      </c>
      <c r="J389" s="3">
        <v>20</v>
      </c>
      <c r="K389" s="3">
        <v>3000</v>
      </c>
      <c r="L389" s="3">
        <v>10</v>
      </c>
      <c r="M389" s="3">
        <v>54000</v>
      </c>
      <c r="N389" s="24">
        <f>(Table1[[#This Row],[Profit (PKR)]]/Table1[[#This Row],[Total Revenue (PKR)]])</f>
        <v>0.44444444444444442</v>
      </c>
      <c r="O389" s="3">
        <v>1500</v>
      </c>
      <c r="P389" s="3">
        <v>30000</v>
      </c>
      <c r="Q389" s="3">
        <v>24000</v>
      </c>
      <c r="R389" s="3" t="s">
        <v>42</v>
      </c>
      <c r="S389" s="3" t="str">
        <f>IF(AND(Table1[[#This Row],[Total Revenue (PKR)]]&gt;50000, Table1[[#This Row],[Discount %]]&lt;10),"High Value","Standard")</f>
        <v>Standard</v>
      </c>
      <c r="T389" s="3" t="s">
        <v>66</v>
      </c>
      <c r="U389" s="7" t="s">
        <v>86</v>
      </c>
      <c r="V389" s="20" t="s">
        <v>491</v>
      </c>
    </row>
    <row r="390" spans="1:22" x14ac:dyDescent="0.25">
      <c r="A390" s="4" t="s">
        <v>690</v>
      </c>
      <c r="B390" s="15">
        <f>DATEVALUE(Table1[[#This Row],[Date2]])</f>
        <v>45470</v>
      </c>
      <c r="C390" s="2" t="str">
        <f>TEXT(Table1[[#This Row],[Date]],"MMM")</f>
        <v>Jun</v>
      </c>
      <c r="D390" s="2" t="str">
        <f>"Q"&amp;ROUNDUP(MONTH(Table1[[#This Row],[Date]])/3,0)</f>
        <v>Q2</v>
      </c>
      <c r="E390" s="2">
        <f>YEAR(Table1[[#This Row],[Date]])</f>
        <v>2024</v>
      </c>
      <c r="F390" s="2" t="s">
        <v>122</v>
      </c>
      <c r="G390" s="2" t="s">
        <v>48</v>
      </c>
      <c r="H390" s="2" t="s">
        <v>34</v>
      </c>
      <c r="I390" s="2" t="s">
        <v>35</v>
      </c>
      <c r="J390" s="2">
        <v>10</v>
      </c>
      <c r="K390" s="2">
        <v>6000</v>
      </c>
      <c r="L390" s="2">
        <v>25</v>
      </c>
      <c r="M390" s="2">
        <v>45000</v>
      </c>
      <c r="N390" s="23">
        <f>(Table1[[#This Row],[Profit (PKR)]]/Table1[[#This Row],[Total Revenue (PKR)]])</f>
        <v>0.22222222222222221</v>
      </c>
      <c r="O390" s="2">
        <v>3500</v>
      </c>
      <c r="P390" s="2">
        <v>35000</v>
      </c>
      <c r="Q390" s="2">
        <v>10000</v>
      </c>
      <c r="R390" s="2" t="s">
        <v>42</v>
      </c>
      <c r="S390" s="2" t="str">
        <f>IF(AND(Table1[[#This Row],[Total Revenue (PKR)]]&gt;50000, Table1[[#This Row],[Discount %]]&lt;10),"High Value","Standard")</f>
        <v>Standard</v>
      </c>
      <c r="T390" s="2" t="s">
        <v>30</v>
      </c>
      <c r="U390" s="6" t="s">
        <v>44</v>
      </c>
      <c r="V390" s="19" t="s">
        <v>691</v>
      </c>
    </row>
    <row r="391" spans="1:22" x14ac:dyDescent="0.25">
      <c r="A391" s="5" t="s">
        <v>692</v>
      </c>
      <c r="B391" s="16">
        <f>DATEVALUE(Table1[[#This Row],[Date2]])</f>
        <v>45553</v>
      </c>
      <c r="C391" s="3" t="str">
        <f>TEXT(Table1[[#This Row],[Date]],"MMM")</f>
        <v>Sep</v>
      </c>
      <c r="D391" s="3" t="str">
        <f>"Q"&amp;ROUNDUP(MONTH(Table1[[#This Row],[Date]])/3,0)</f>
        <v>Q3</v>
      </c>
      <c r="E391" s="3">
        <f>YEAR(Table1[[#This Row],[Date]])</f>
        <v>2024</v>
      </c>
      <c r="F391" s="3" t="s">
        <v>100</v>
      </c>
      <c r="G391" s="3" t="s">
        <v>48</v>
      </c>
      <c r="H391" s="3" t="s">
        <v>20</v>
      </c>
      <c r="I391" s="3" t="s">
        <v>65</v>
      </c>
      <c r="J391" s="3">
        <v>16</v>
      </c>
      <c r="K391" s="3">
        <v>18000</v>
      </c>
      <c r="L391" s="3">
        <v>0</v>
      </c>
      <c r="M391" s="3">
        <v>288000</v>
      </c>
      <c r="N391" s="24">
        <f>(Table1[[#This Row],[Profit (PKR)]]/Table1[[#This Row],[Total Revenue (PKR)]])</f>
        <v>0.33333333333333331</v>
      </c>
      <c r="O391" s="3">
        <v>12000</v>
      </c>
      <c r="P391" s="3">
        <v>192000</v>
      </c>
      <c r="Q391" s="3">
        <v>96000</v>
      </c>
      <c r="R391" s="3" t="s">
        <v>42</v>
      </c>
      <c r="S391" s="3" t="str">
        <f>IF(AND(Table1[[#This Row],[Total Revenue (PKR)]]&gt;50000, Table1[[#This Row],[Discount %]]&lt;10),"High Value","Standard")</f>
        <v>High Value</v>
      </c>
      <c r="T391" s="3" t="s">
        <v>55</v>
      </c>
      <c r="U391" s="7" t="s">
        <v>24</v>
      </c>
      <c r="V391" s="20" t="s">
        <v>693</v>
      </c>
    </row>
    <row r="392" spans="1:22" x14ac:dyDescent="0.25">
      <c r="A392" s="4" t="s">
        <v>694</v>
      </c>
      <c r="B392" s="15">
        <f>DATEVALUE(Table1[[#This Row],[Date2]])</f>
        <v>45433</v>
      </c>
      <c r="C392" s="2" t="str">
        <f>TEXT(Table1[[#This Row],[Date]],"MMM")</f>
        <v>May</v>
      </c>
      <c r="D392" s="2" t="str">
        <f>"Q"&amp;ROUNDUP(MONTH(Table1[[#This Row],[Date]])/3,0)</f>
        <v>Q2</v>
      </c>
      <c r="E392" s="2">
        <f>YEAR(Table1[[#This Row],[Date]])</f>
        <v>2024</v>
      </c>
      <c r="F392" s="2" t="s">
        <v>39</v>
      </c>
      <c r="G392" s="2" t="s">
        <v>48</v>
      </c>
      <c r="H392" s="2" t="s">
        <v>34</v>
      </c>
      <c r="I392" s="2" t="s">
        <v>146</v>
      </c>
      <c r="J392" s="2">
        <v>17</v>
      </c>
      <c r="K392" s="2">
        <v>3500</v>
      </c>
      <c r="L392" s="2">
        <v>5</v>
      </c>
      <c r="M392" s="2">
        <v>56525</v>
      </c>
      <c r="N392" s="23">
        <f>(Table1[[#This Row],[Profit (PKR)]]/Table1[[#This Row],[Total Revenue (PKR)]])</f>
        <v>0.45864661654135336</v>
      </c>
      <c r="O392" s="2">
        <v>1800</v>
      </c>
      <c r="P392" s="2">
        <v>30600</v>
      </c>
      <c r="Q392" s="2">
        <v>25925</v>
      </c>
      <c r="R392" s="2" t="s">
        <v>22</v>
      </c>
      <c r="S392" s="2" t="str">
        <f>IF(AND(Table1[[#This Row],[Total Revenue (PKR)]]&gt;50000, Table1[[#This Row],[Discount %]]&lt;10),"High Value","Standard")</f>
        <v>High Value</v>
      </c>
      <c r="T392" s="2" t="s">
        <v>30</v>
      </c>
      <c r="U392" s="6" t="s">
        <v>44</v>
      </c>
      <c r="V392" s="19" t="s">
        <v>213</v>
      </c>
    </row>
    <row r="393" spans="1:22" x14ac:dyDescent="0.25">
      <c r="A393" s="5" t="s">
        <v>695</v>
      </c>
      <c r="B393" s="16">
        <f>DATEVALUE(Table1[[#This Row],[Date2]])</f>
        <v>45455</v>
      </c>
      <c r="C393" s="3" t="str">
        <f>TEXT(Table1[[#This Row],[Date]],"MMM")</f>
        <v>Jun</v>
      </c>
      <c r="D393" s="3" t="str">
        <f>"Q"&amp;ROUNDUP(MONTH(Table1[[#This Row],[Date]])/3,0)</f>
        <v>Q2</v>
      </c>
      <c r="E393" s="3">
        <f>YEAR(Table1[[#This Row],[Date]])</f>
        <v>2024</v>
      </c>
      <c r="F393" s="3" t="s">
        <v>92</v>
      </c>
      <c r="G393" s="3" t="s">
        <v>19</v>
      </c>
      <c r="H393" s="3" t="s">
        <v>93</v>
      </c>
      <c r="I393" s="3" t="s">
        <v>98</v>
      </c>
      <c r="J393" s="3">
        <v>9</v>
      </c>
      <c r="K393" s="3">
        <v>400</v>
      </c>
      <c r="L393" s="3">
        <v>15</v>
      </c>
      <c r="M393" s="3">
        <v>3060</v>
      </c>
      <c r="N393" s="24">
        <f>(Table1[[#This Row],[Profit (PKR)]]/Table1[[#This Row],[Total Revenue (PKR)]])</f>
        <v>0.17647058823529413</v>
      </c>
      <c r="O393" s="3">
        <v>280</v>
      </c>
      <c r="P393" s="3">
        <v>2520</v>
      </c>
      <c r="Q393" s="3">
        <v>540</v>
      </c>
      <c r="R393" s="3" t="s">
        <v>42</v>
      </c>
      <c r="S393" s="3" t="str">
        <f>IF(AND(Table1[[#This Row],[Total Revenue (PKR)]]&gt;50000, Table1[[#This Row],[Discount %]]&lt;10),"High Value","Standard")</f>
        <v>Standard</v>
      </c>
      <c r="T393" s="3" t="s">
        <v>66</v>
      </c>
      <c r="U393" s="7" t="s">
        <v>24</v>
      </c>
      <c r="V393" s="20" t="s">
        <v>497</v>
      </c>
    </row>
    <row r="394" spans="1:22" x14ac:dyDescent="0.25">
      <c r="A394" s="4" t="s">
        <v>696</v>
      </c>
      <c r="B394" s="15">
        <f>DATEVALUE(Table1[[#This Row],[Date2]])</f>
        <v>45590</v>
      </c>
      <c r="C394" s="2" t="str">
        <f>TEXT(Table1[[#This Row],[Date]],"MMM")</f>
        <v>Oct</v>
      </c>
      <c r="D394" s="2" t="str">
        <f>"Q"&amp;ROUNDUP(MONTH(Table1[[#This Row],[Date]])/3,0)</f>
        <v>Q4</v>
      </c>
      <c r="E394" s="2">
        <f>YEAR(Table1[[#This Row],[Date]])</f>
        <v>2024</v>
      </c>
      <c r="F394" s="2" t="s">
        <v>47</v>
      </c>
      <c r="G394" s="2" t="s">
        <v>64</v>
      </c>
      <c r="H394" s="2" t="s">
        <v>20</v>
      </c>
      <c r="I394" s="2" t="s">
        <v>21</v>
      </c>
      <c r="J394" s="2">
        <v>18</v>
      </c>
      <c r="K394" s="2">
        <v>3500</v>
      </c>
      <c r="L394" s="2">
        <v>25</v>
      </c>
      <c r="M394" s="2">
        <v>47250</v>
      </c>
      <c r="N394" s="23">
        <f>(Table1[[#This Row],[Profit (PKR)]]/Table1[[#This Row],[Total Revenue (PKR)]])</f>
        <v>0.23809523809523808</v>
      </c>
      <c r="O394" s="2">
        <v>2000</v>
      </c>
      <c r="P394" s="2">
        <v>36000</v>
      </c>
      <c r="Q394" s="2">
        <v>11250</v>
      </c>
      <c r="R394" s="2" t="s">
        <v>42</v>
      </c>
      <c r="S394" s="2" t="str">
        <f>IF(AND(Table1[[#This Row],[Total Revenue (PKR)]]&gt;50000, Table1[[#This Row],[Discount %]]&lt;10),"High Value","Standard")</f>
        <v>Standard</v>
      </c>
      <c r="T394" s="2" t="s">
        <v>23</v>
      </c>
      <c r="U394" s="6" t="s">
        <v>44</v>
      </c>
      <c r="V394" s="19" t="s">
        <v>697</v>
      </c>
    </row>
    <row r="395" spans="1:22" x14ac:dyDescent="0.25">
      <c r="A395" s="5" t="s">
        <v>698</v>
      </c>
      <c r="B395" s="16">
        <f>DATEVALUE(Table1[[#This Row],[Date2]])</f>
        <v>45445</v>
      </c>
      <c r="C395" s="3" t="str">
        <f>TEXT(Table1[[#This Row],[Date]],"MMM")</f>
        <v>Jun</v>
      </c>
      <c r="D395" s="3" t="str">
        <f>"Q"&amp;ROUNDUP(MONTH(Table1[[#This Row],[Date]])/3,0)</f>
        <v>Q2</v>
      </c>
      <c r="E395" s="3">
        <f>YEAR(Table1[[#This Row],[Date]])</f>
        <v>2024</v>
      </c>
      <c r="F395" s="3" t="s">
        <v>92</v>
      </c>
      <c r="G395" s="3" t="s">
        <v>40</v>
      </c>
      <c r="H395" s="3" t="s">
        <v>20</v>
      </c>
      <c r="I395" s="3" t="s">
        <v>65</v>
      </c>
      <c r="J395" s="3">
        <v>16</v>
      </c>
      <c r="K395" s="3">
        <v>18000</v>
      </c>
      <c r="L395" s="3">
        <v>5</v>
      </c>
      <c r="M395" s="3">
        <v>273600</v>
      </c>
      <c r="N395" s="24">
        <f>(Table1[[#This Row],[Profit (PKR)]]/Table1[[#This Row],[Total Revenue (PKR)]])</f>
        <v>0.2982456140350877</v>
      </c>
      <c r="O395" s="3">
        <v>12000</v>
      </c>
      <c r="P395" s="3">
        <v>192000</v>
      </c>
      <c r="Q395" s="3">
        <v>81600</v>
      </c>
      <c r="R395" s="3" t="s">
        <v>42</v>
      </c>
      <c r="S395" s="3" t="str">
        <f>IF(AND(Table1[[#This Row],[Total Revenue (PKR)]]&gt;50000, Table1[[#This Row],[Discount %]]&lt;10),"High Value","Standard")</f>
        <v>High Value</v>
      </c>
      <c r="T395" s="3" t="s">
        <v>23</v>
      </c>
      <c r="U395" s="7" t="s">
        <v>86</v>
      </c>
      <c r="V395" s="20" t="s">
        <v>404</v>
      </c>
    </row>
    <row r="396" spans="1:22" x14ac:dyDescent="0.25">
      <c r="A396" s="4" t="s">
        <v>699</v>
      </c>
      <c r="B396" s="15">
        <f>DATEVALUE(Table1[[#This Row],[Date2]])</f>
        <v>45385</v>
      </c>
      <c r="C396" s="2" t="str">
        <f>TEXT(Table1[[#This Row],[Date]],"MMM")</f>
        <v>Apr</v>
      </c>
      <c r="D396" s="2" t="str">
        <f>"Q"&amp;ROUNDUP(MONTH(Table1[[#This Row],[Date]])/3,0)</f>
        <v>Q2</v>
      </c>
      <c r="E396" s="2">
        <f>YEAR(Table1[[#This Row],[Date]])</f>
        <v>2024</v>
      </c>
      <c r="F396" s="2" t="s">
        <v>100</v>
      </c>
      <c r="G396" s="2" t="s">
        <v>159</v>
      </c>
      <c r="H396" s="2" t="s">
        <v>34</v>
      </c>
      <c r="I396" s="2" t="s">
        <v>41</v>
      </c>
      <c r="J396" s="2">
        <v>8</v>
      </c>
      <c r="K396" s="2">
        <v>3000</v>
      </c>
      <c r="L396" s="2">
        <v>25</v>
      </c>
      <c r="M396" s="2">
        <v>18000</v>
      </c>
      <c r="N396" s="23">
        <f>(Table1[[#This Row],[Profit (PKR)]]/Table1[[#This Row],[Total Revenue (PKR)]])</f>
        <v>0.33333333333333331</v>
      </c>
      <c r="O396" s="2">
        <v>1500</v>
      </c>
      <c r="P396" s="2">
        <v>12000</v>
      </c>
      <c r="Q396" s="2">
        <v>6000</v>
      </c>
      <c r="R396" s="2" t="s">
        <v>42</v>
      </c>
      <c r="S396" s="2" t="str">
        <f>IF(AND(Table1[[#This Row],[Total Revenue (PKR)]]&gt;50000, Table1[[#This Row],[Discount %]]&lt;10),"High Value","Standard")</f>
        <v>Standard</v>
      </c>
      <c r="T396" s="2" t="s">
        <v>66</v>
      </c>
      <c r="U396" s="6" t="s">
        <v>86</v>
      </c>
      <c r="V396" s="19" t="s">
        <v>700</v>
      </c>
    </row>
    <row r="397" spans="1:22" x14ac:dyDescent="0.25">
      <c r="A397" s="5" t="s">
        <v>701</v>
      </c>
      <c r="B397" s="16">
        <f>DATEVALUE(Table1[[#This Row],[Date2]])</f>
        <v>45461</v>
      </c>
      <c r="C397" s="3" t="str">
        <f>TEXT(Table1[[#This Row],[Date]],"MMM")</f>
        <v>Jun</v>
      </c>
      <c r="D397" s="3" t="str">
        <f>"Q"&amp;ROUNDUP(MONTH(Table1[[#This Row],[Date]])/3,0)</f>
        <v>Q2</v>
      </c>
      <c r="E397" s="3">
        <f>YEAR(Table1[[#This Row],[Date]])</f>
        <v>2024</v>
      </c>
      <c r="F397" s="3" t="s">
        <v>100</v>
      </c>
      <c r="G397" s="3" t="s">
        <v>48</v>
      </c>
      <c r="H397" s="3" t="s">
        <v>53</v>
      </c>
      <c r="I397" s="3" t="s">
        <v>85</v>
      </c>
      <c r="J397" s="3">
        <v>15</v>
      </c>
      <c r="K397" s="3">
        <v>1500</v>
      </c>
      <c r="L397" s="3">
        <v>0</v>
      </c>
      <c r="M397" s="3">
        <v>22500</v>
      </c>
      <c r="N397" s="24">
        <f>(Table1[[#This Row],[Profit (PKR)]]/Table1[[#This Row],[Total Revenue (PKR)]])</f>
        <v>0.46666666666666667</v>
      </c>
      <c r="O397" s="3">
        <v>800</v>
      </c>
      <c r="P397" s="3">
        <v>12000</v>
      </c>
      <c r="Q397" s="3">
        <v>10500</v>
      </c>
      <c r="R397" s="3" t="s">
        <v>42</v>
      </c>
      <c r="S397" s="3" t="str">
        <f>IF(AND(Table1[[#This Row],[Total Revenue (PKR)]]&gt;50000, Table1[[#This Row],[Discount %]]&lt;10),"High Value","Standard")</f>
        <v>Standard</v>
      </c>
      <c r="T397" s="3" t="s">
        <v>43</v>
      </c>
      <c r="U397" s="7" t="s">
        <v>86</v>
      </c>
      <c r="V397" s="20" t="s">
        <v>627</v>
      </c>
    </row>
    <row r="398" spans="1:22" x14ac:dyDescent="0.25">
      <c r="A398" s="4" t="s">
        <v>702</v>
      </c>
      <c r="B398" s="15">
        <f>DATEVALUE(Table1[[#This Row],[Date2]])</f>
        <v>45590</v>
      </c>
      <c r="C398" s="2" t="str">
        <f>TEXT(Table1[[#This Row],[Date]],"MMM")</f>
        <v>Oct</v>
      </c>
      <c r="D398" s="2" t="str">
        <f>"Q"&amp;ROUNDUP(MONTH(Table1[[#This Row],[Date]])/3,0)</f>
        <v>Q4</v>
      </c>
      <c r="E398" s="2">
        <f>YEAR(Table1[[#This Row],[Date]])</f>
        <v>2024</v>
      </c>
      <c r="F398" s="2" t="s">
        <v>47</v>
      </c>
      <c r="G398" s="2" t="s">
        <v>159</v>
      </c>
      <c r="H398" s="2" t="s">
        <v>93</v>
      </c>
      <c r="I398" s="2" t="s">
        <v>188</v>
      </c>
      <c r="J398" s="2">
        <v>17</v>
      </c>
      <c r="K398" s="2">
        <v>1500</v>
      </c>
      <c r="L398" s="2">
        <v>0</v>
      </c>
      <c r="M398" s="2">
        <v>25500</v>
      </c>
      <c r="N398" s="23">
        <f>(Table1[[#This Row],[Profit (PKR)]]/Table1[[#This Row],[Total Revenue (PKR)]])</f>
        <v>0.26666666666666666</v>
      </c>
      <c r="O398" s="2">
        <v>1100</v>
      </c>
      <c r="P398" s="2">
        <v>18700</v>
      </c>
      <c r="Q398" s="2">
        <v>6800</v>
      </c>
      <c r="R398" s="2" t="s">
        <v>42</v>
      </c>
      <c r="S398" s="2" t="str">
        <f>IF(AND(Table1[[#This Row],[Total Revenue (PKR)]]&gt;50000, Table1[[#This Row],[Discount %]]&lt;10),"High Value","Standard")</f>
        <v>Standard</v>
      </c>
      <c r="T398" s="2" t="s">
        <v>30</v>
      </c>
      <c r="U398" s="6" t="s">
        <v>44</v>
      </c>
      <c r="V398" s="19" t="s">
        <v>697</v>
      </c>
    </row>
    <row r="399" spans="1:22" x14ac:dyDescent="0.25">
      <c r="A399" s="5" t="s">
        <v>703</v>
      </c>
      <c r="B399" s="16">
        <f>DATEVALUE(Table1[[#This Row],[Date2]])</f>
        <v>45319</v>
      </c>
      <c r="C399" s="3" t="str">
        <f>TEXT(Table1[[#This Row],[Date]],"MMM")</f>
        <v>Jan</v>
      </c>
      <c r="D399" s="3" t="str">
        <f>"Q"&amp;ROUNDUP(MONTH(Table1[[#This Row],[Date]])/3,0)</f>
        <v>Q1</v>
      </c>
      <c r="E399" s="3">
        <f>YEAR(Table1[[#This Row],[Date]])</f>
        <v>2024</v>
      </c>
      <c r="F399" s="3" t="s">
        <v>92</v>
      </c>
      <c r="G399" s="3" t="s">
        <v>40</v>
      </c>
      <c r="H399" s="3" t="s">
        <v>34</v>
      </c>
      <c r="I399" s="3" t="s">
        <v>41</v>
      </c>
      <c r="J399" s="3">
        <v>14</v>
      </c>
      <c r="K399" s="3">
        <v>3000</v>
      </c>
      <c r="L399" s="3">
        <v>20</v>
      </c>
      <c r="M399" s="3">
        <v>33600</v>
      </c>
      <c r="N399" s="24">
        <f>(Table1[[#This Row],[Profit (PKR)]]/Table1[[#This Row],[Total Revenue (PKR)]])</f>
        <v>0.375</v>
      </c>
      <c r="O399" s="3">
        <v>1500</v>
      </c>
      <c r="P399" s="3">
        <v>21000</v>
      </c>
      <c r="Q399" s="3">
        <v>12600</v>
      </c>
      <c r="R399" s="3" t="s">
        <v>42</v>
      </c>
      <c r="S399" s="3" t="str">
        <f>IF(AND(Table1[[#This Row],[Total Revenue (PKR)]]&gt;50000, Table1[[#This Row],[Discount %]]&lt;10),"High Value","Standard")</f>
        <v>Standard</v>
      </c>
      <c r="T399" s="3" t="s">
        <v>36</v>
      </c>
      <c r="U399" s="7" t="s">
        <v>44</v>
      </c>
      <c r="V399" s="20" t="s">
        <v>225</v>
      </c>
    </row>
    <row r="400" spans="1:22" x14ac:dyDescent="0.25">
      <c r="A400" s="4" t="s">
        <v>704</v>
      </c>
      <c r="B400" s="15">
        <f>DATEVALUE(Table1[[#This Row],[Date2]])</f>
        <v>45384</v>
      </c>
      <c r="C400" s="2" t="str">
        <f>TEXT(Table1[[#This Row],[Date]],"MMM")</f>
        <v>Apr</v>
      </c>
      <c r="D400" s="2" t="str">
        <f>"Q"&amp;ROUNDUP(MONTH(Table1[[#This Row],[Date]])/3,0)</f>
        <v>Q2</v>
      </c>
      <c r="E400" s="2">
        <f>YEAR(Table1[[#This Row],[Date]])</f>
        <v>2024</v>
      </c>
      <c r="F400" s="2" t="s">
        <v>18</v>
      </c>
      <c r="G400" s="2" t="s">
        <v>74</v>
      </c>
      <c r="H400" s="2" t="s">
        <v>20</v>
      </c>
      <c r="I400" s="2" t="s">
        <v>21</v>
      </c>
      <c r="J400" s="2">
        <v>11</v>
      </c>
      <c r="K400" s="2">
        <v>3500</v>
      </c>
      <c r="L400" s="2">
        <v>25</v>
      </c>
      <c r="M400" s="2">
        <v>28875</v>
      </c>
      <c r="N400" s="23">
        <f>(Table1[[#This Row],[Profit (PKR)]]/Table1[[#This Row],[Total Revenue (PKR)]])</f>
        <v>0.23809523809523808</v>
      </c>
      <c r="O400" s="2">
        <v>2000</v>
      </c>
      <c r="P400" s="2">
        <v>22000</v>
      </c>
      <c r="Q400" s="2">
        <v>6875</v>
      </c>
      <c r="R400" s="2" t="s">
        <v>22</v>
      </c>
      <c r="S400" s="2" t="str">
        <f>IF(AND(Table1[[#This Row],[Total Revenue (PKR)]]&gt;50000, Table1[[#This Row],[Discount %]]&lt;10),"High Value","Standard")</f>
        <v>Standard</v>
      </c>
      <c r="T400" s="2" t="s">
        <v>43</v>
      </c>
      <c r="U400" s="6" t="s">
        <v>44</v>
      </c>
      <c r="V400" s="19" t="s">
        <v>705</v>
      </c>
    </row>
    <row r="401" spans="1:22" x14ac:dyDescent="0.25">
      <c r="A401" s="5" t="s">
        <v>706</v>
      </c>
      <c r="B401" s="16">
        <f>DATEVALUE(Table1[[#This Row],[Date2]])</f>
        <v>45399</v>
      </c>
      <c r="C401" s="3" t="str">
        <f>TEXT(Table1[[#This Row],[Date]],"MMM")</f>
        <v>Apr</v>
      </c>
      <c r="D401" s="3" t="str">
        <f>"Q"&amp;ROUNDUP(MONTH(Table1[[#This Row],[Date]])/3,0)</f>
        <v>Q2</v>
      </c>
      <c r="E401" s="3">
        <f>YEAR(Table1[[#This Row],[Date]])</f>
        <v>2024</v>
      </c>
      <c r="F401" s="3" t="s">
        <v>92</v>
      </c>
      <c r="G401" s="3" t="s">
        <v>40</v>
      </c>
      <c r="H401" s="3" t="s">
        <v>93</v>
      </c>
      <c r="I401" s="3" t="s">
        <v>119</v>
      </c>
      <c r="J401" s="3">
        <v>5</v>
      </c>
      <c r="K401" s="3">
        <v>800</v>
      </c>
      <c r="L401" s="3">
        <v>20</v>
      </c>
      <c r="M401" s="3">
        <v>3200</v>
      </c>
      <c r="N401" s="24">
        <f>(Table1[[#This Row],[Profit (PKR)]]/Table1[[#This Row],[Total Revenue (PKR)]])</f>
        <v>6.25E-2</v>
      </c>
      <c r="O401" s="3">
        <v>600</v>
      </c>
      <c r="P401" s="3">
        <v>3000</v>
      </c>
      <c r="Q401" s="3">
        <v>200</v>
      </c>
      <c r="R401" s="3" t="s">
        <v>42</v>
      </c>
      <c r="S401" s="3" t="str">
        <f>IF(AND(Table1[[#This Row],[Total Revenue (PKR)]]&gt;50000, Table1[[#This Row],[Discount %]]&lt;10),"High Value","Standard")</f>
        <v>Standard</v>
      </c>
      <c r="T401" s="3" t="s">
        <v>23</v>
      </c>
      <c r="U401" s="7" t="s">
        <v>44</v>
      </c>
      <c r="V401" s="20" t="s">
        <v>707</v>
      </c>
    </row>
    <row r="402" spans="1:22" x14ac:dyDescent="0.25">
      <c r="A402" s="4" t="s">
        <v>708</v>
      </c>
      <c r="B402" s="15">
        <f>DATEVALUE(Table1[[#This Row],[Date2]])</f>
        <v>45511</v>
      </c>
      <c r="C402" s="2" t="str">
        <f>TEXT(Table1[[#This Row],[Date]],"MMM")</f>
        <v>Aug</v>
      </c>
      <c r="D402" s="2" t="str">
        <f>"Q"&amp;ROUNDUP(MONTH(Table1[[#This Row],[Date]])/3,0)</f>
        <v>Q3</v>
      </c>
      <c r="E402" s="2">
        <f>YEAR(Table1[[#This Row],[Date]])</f>
        <v>2024</v>
      </c>
      <c r="F402" s="2" t="s">
        <v>122</v>
      </c>
      <c r="G402" s="2" t="s">
        <v>27</v>
      </c>
      <c r="H402" s="2" t="s">
        <v>28</v>
      </c>
      <c r="I402" s="2" t="s">
        <v>29</v>
      </c>
      <c r="J402" s="2">
        <v>18</v>
      </c>
      <c r="K402" s="2">
        <v>25000</v>
      </c>
      <c r="L402" s="2">
        <v>5</v>
      </c>
      <c r="M402" s="2">
        <v>427500</v>
      </c>
      <c r="N402" s="23">
        <f>(Table1[[#This Row],[Profit (PKR)]]/Table1[[#This Row],[Total Revenue (PKR)]])</f>
        <v>0.24210526315789474</v>
      </c>
      <c r="O402" s="2">
        <v>18000</v>
      </c>
      <c r="P402" s="2">
        <v>324000</v>
      </c>
      <c r="Q402" s="2">
        <v>103500</v>
      </c>
      <c r="R402" s="2" t="s">
        <v>42</v>
      </c>
      <c r="S402" s="2" t="str">
        <f>IF(AND(Table1[[#This Row],[Total Revenue (PKR)]]&gt;50000, Table1[[#This Row],[Discount %]]&lt;10),"High Value","Standard")</f>
        <v>High Value</v>
      </c>
      <c r="T402" s="2" t="s">
        <v>43</v>
      </c>
      <c r="U402" s="6" t="s">
        <v>86</v>
      </c>
      <c r="V402" s="19" t="s">
        <v>566</v>
      </c>
    </row>
    <row r="403" spans="1:22" x14ac:dyDescent="0.25">
      <c r="A403" s="5" t="s">
        <v>709</v>
      </c>
      <c r="B403" s="16">
        <f>DATEVALUE(Table1[[#This Row],[Date2]])</f>
        <v>45563</v>
      </c>
      <c r="C403" s="3" t="str">
        <f>TEXT(Table1[[#This Row],[Date]],"MMM")</f>
        <v>Sep</v>
      </c>
      <c r="D403" s="3" t="str">
        <f>"Q"&amp;ROUNDUP(MONTH(Table1[[#This Row],[Date]])/3,0)</f>
        <v>Q3</v>
      </c>
      <c r="E403" s="3">
        <f>YEAR(Table1[[#This Row],[Date]])</f>
        <v>2024</v>
      </c>
      <c r="F403" s="3" t="s">
        <v>33</v>
      </c>
      <c r="G403" s="3" t="s">
        <v>19</v>
      </c>
      <c r="H403" s="3" t="s">
        <v>28</v>
      </c>
      <c r="I403" s="3" t="s">
        <v>116</v>
      </c>
      <c r="J403" s="3">
        <v>8</v>
      </c>
      <c r="K403" s="3">
        <v>85000</v>
      </c>
      <c r="L403" s="3">
        <v>25</v>
      </c>
      <c r="M403" s="3">
        <v>510000</v>
      </c>
      <c r="N403" s="24">
        <f>(Table1[[#This Row],[Profit (PKR)]]/Table1[[#This Row],[Total Revenue (PKR)]])</f>
        <v>-1.9607843137254902E-2</v>
      </c>
      <c r="O403" s="3">
        <v>65000</v>
      </c>
      <c r="P403" s="3">
        <v>520000</v>
      </c>
      <c r="Q403" s="3">
        <v>-10000</v>
      </c>
      <c r="R403" s="3" t="s">
        <v>42</v>
      </c>
      <c r="S403" s="3" t="str">
        <f>IF(AND(Table1[[#This Row],[Total Revenue (PKR)]]&gt;50000, Table1[[#This Row],[Discount %]]&lt;10),"High Value","Standard")</f>
        <v>Standard</v>
      </c>
      <c r="T403" s="3" t="s">
        <v>55</v>
      </c>
      <c r="U403" s="7" t="s">
        <v>44</v>
      </c>
      <c r="V403" s="20" t="s">
        <v>452</v>
      </c>
    </row>
    <row r="404" spans="1:22" x14ac:dyDescent="0.25">
      <c r="A404" s="4" t="s">
        <v>710</v>
      </c>
      <c r="B404" s="15">
        <f>DATEVALUE(Table1[[#This Row],[Date2]])</f>
        <v>45488</v>
      </c>
      <c r="C404" s="2" t="str">
        <f>TEXT(Table1[[#This Row],[Date]],"MMM")</f>
        <v>Jul</v>
      </c>
      <c r="D404" s="2" t="str">
        <f>"Q"&amp;ROUNDUP(MONTH(Table1[[#This Row],[Date]])/3,0)</f>
        <v>Q3</v>
      </c>
      <c r="E404" s="2">
        <f>YEAR(Table1[[#This Row],[Date]])</f>
        <v>2024</v>
      </c>
      <c r="F404" s="2" t="s">
        <v>63</v>
      </c>
      <c r="G404" s="2" t="s">
        <v>48</v>
      </c>
      <c r="H404" s="2" t="s">
        <v>34</v>
      </c>
      <c r="I404" s="2" t="s">
        <v>196</v>
      </c>
      <c r="J404" s="2">
        <v>2</v>
      </c>
      <c r="K404" s="2">
        <v>2500</v>
      </c>
      <c r="L404" s="2">
        <v>10</v>
      </c>
      <c r="M404" s="2">
        <v>4500</v>
      </c>
      <c r="N404" s="23">
        <f>(Table1[[#This Row],[Profit (PKR)]]/Table1[[#This Row],[Total Revenue (PKR)]])</f>
        <v>0.46666666666666667</v>
      </c>
      <c r="O404" s="2">
        <v>1200</v>
      </c>
      <c r="P404" s="2">
        <v>2400</v>
      </c>
      <c r="Q404" s="2">
        <v>2100</v>
      </c>
      <c r="R404" s="2" t="s">
        <v>42</v>
      </c>
      <c r="S404" s="2" t="str">
        <f>IF(AND(Table1[[#This Row],[Total Revenue (PKR)]]&gt;50000, Table1[[#This Row],[Discount %]]&lt;10),"High Value","Standard")</f>
        <v>Standard</v>
      </c>
      <c r="T404" s="2" t="s">
        <v>66</v>
      </c>
      <c r="U404" s="6" t="s">
        <v>24</v>
      </c>
      <c r="V404" s="19" t="s">
        <v>556</v>
      </c>
    </row>
    <row r="405" spans="1:22" x14ac:dyDescent="0.25">
      <c r="A405" s="5" t="s">
        <v>711</v>
      </c>
      <c r="B405" s="16">
        <f>DATEVALUE(Table1[[#This Row],[Date2]])</f>
        <v>45597</v>
      </c>
      <c r="C405" s="3" t="str">
        <f>TEXT(Table1[[#This Row],[Date]],"MMM")</f>
        <v>Nov</v>
      </c>
      <c r="D405" s="3" t="str">
        <f>"Q"&amp;ROUNDUP(MONTH(Table1[[#This Row],[Date]])/3,0)</f>
        <v>Q4</v>
      </c>
      <c r="E405" s="3">
        <f>YEAR(Table1[[#This Row],[Date]])</f>
        <v>2024</v>
      </c>
      <c r="F405" s="3" t="s">
        <v>63</v>
      </c>
      <c r="G405" s="3" t="s">
        <v>52</v>
      </c>
      <c r="H405" s="3" t="s">
        <v>93</v>
      </c>
      <c r="I405" s="3" t="s">
        <v>188</v>
      </c>
      <c r="J405" s="3">
        <v>11</v>
      </c>
      <c r="K405" s="3">
        <v>1500</v>
      </c>
      <c r="L405" s="3">
        <v>15</v>
      </c>
      <c r="M405" s="3">
        <v>14025</v>
      </c>
      <c r="N405" s="24">
        <f>(Table1[[#This Row],[Profit (PKR)]]/Table1[[#This Row],[Total Revenue (PKR)]])</f>
        <v>0.13725490196078433</v>
      </c>
      <c r="O405" s="3">
        <v>1100</v>
      </c>
      <c r="P405" s="3">
        <v>12100</v>
      </c>
      <c r="Q405" s="3">
        <v>1925</v>
      </c>
      <c r="R405" s="3" t="s">
        <v>42</v>
      </c>
      <c r="S405" s="3" t="str">
        <f>IF(AND(Table1[[#This Row],[Total Revenue (PKR)]]&gt;50000, Table1[[#This Row],[Discount %]]&lt;10),"High Value","Standard")</f>
        <v>Standard</v>
      </c>
      <c r="T405" s="3" t="s">
        <v>36</v>
      </c>
      <c r="U405" s="7" t="s">
        <v>44</v>
      </c>
      <c r="V405" s="20" t="s">
        <v>712</v>
      </c>
    </row>
    <row r="406" spans="1:22" x14ac:dyDescent="0.25">
      <c r="A406" s="4" t="s">
        <v>713</v>
      </c>
      <c r="B406" s="15">
        <f>DATEVALUE(Table1[[#This Row],[Date2]])</f>
        <v>45498</v>
      </c>
      <c r="C406" s="2" t="str">
        <f>TEXT(Table1[[#This Row],[Date]],"MMM")</f>
        <v>Jul</v>
      </c>
      <c r="D406" s="2" t="str">
        <f>"Q"&amp;ROUNDUP(MONTH(Table1[[#This Row],[Date]])/3,0)</f>
        <v>Q3</v>
      </c>
      <c r="E406" s="2">
        <f>YEAR(Table1[[#This Row],[Date]])</f>
        <v>2024</v>
      </c>
      <c r="F406" s="2" t="s">
        <v>104</v>
      </c>
      <c r="G406" s="2" t="s">
        <v>64</v>
      </c>
      <c r="H406" s="2" t="s">
        <v>34</v>
      </c>
      <c r="I406" s="2" t="s">
        <v>146</v>
      </c>
      <c r="J406" s="2">
        <v>7</v>
      </c>
      <c r="K406" s="2">
        <v>3500</v>
      </c>
      <c r="L406" s="2">
        <v>25</v>
      </c>
      <c r="M406" s="2">
        <v>18375</v>
      </c>
      <c r="N406" s="23">
        <f>(Table1[[#This Row],[Profit (PKR)]]/Table1[[#This Row],[Total Revenue (PKR)]])</f>
        <v>0.31428571428571428</v>
      </c>
      <c r="O406" s="2">
        <v>1800</v>
      </c>
      <c r="P406" s="2">
        <v>12600</v>
      </c>
      <c r="Q406" s="2">
        <v>5775</v>
      </c>
      <c r="R406" s="2" t="s">
        <v>22</v>
      </c>
      <c r="S406" s="2" t="str">
        <f>IF(AND(Table1[[#This Row],[Total Revenue (PKR)]]&gt;50000, Table1[[#This Row],[Discount %]]&lt;10),"High Value","Standard")</f>
        <v>Standard</v>
      </c>
      <c r="T406" s="2" t="s">
        <v>30</v>
      </c>
      <c r="U406" s="6" t="s">
        <v>44</v>
      </c>
      <c r="V406" s="19" t="s">
        <v>714</v>
      </c>
    </row>
    <row r="407" spans="1:22" x14ac:dyDescent="0.25">
      <c r="A407" s="5" t="s">
        <v>715</v>
      </c>
      <c r="B407" s="16">
        <f>DATEVALUE(Table1[[#This Row],[Date2]])</f>
        <v>45355</v>
      </c>
      <c r="C407" s="3" t="str">
        <f>TEXT(Table1[[#This Row],[Date]],"MMM")</f>
        <v>Mar</v>
      </c>
      <c r="D407" s="3" t="str">
        <f>"Q"&amp;ROUNDUP(MONTH(Table1[[#This Row],[Date]])/3,0)</f>
        <v>Q1</v>
      </c>
      <c r="E407" s="3">
        <f>YEAR(Table1[[#This Row],[Date]])</f>
        <v>2024</v>
      </c>
      <c r="F407" s="3" t="s">
        <v>100</v>
      </c>
      <c r="G407" s="3" t="s">
        <v>19</v>
      </c>
      <c r="H407" s="3" t="s">
        <v>93</v>
      </c>
      <c r="I407" s="3" t="s">
        <v>98</v>
      </c>
      <c r="J407" s="3">
        <v>18</v>
      </c>
      <c r="K407" s="3">
        <v>400</v>
      </c>
      <c r="L407" s="3">
        <v>20</v>
      </c>
      <c r="M407" s="3">
        <v>5760</v>
      </c>
      <c r="N407" s="24">
        <f>(Table1[[#This Row],[Profit (PKR)]]/Table1[[#This Row],[Total Revenue (PKR)]])</f>
        <v>0.125</v>
      </c>
      <c r="O407" s="3">
        <v>280</v>
      </c>
      <c r="P407" s="3">
        <v>5040</v>
      </c>
      <c r="Q407" s="3">
        <v>720</v>
      </c>
      <c r="R407" s="3" t="s">
        <v>22</v>
      </c>
      <c r="S407" s="3" t="str">
        <f>IF(AND(Table1[[#This Row],[Total Revenue (PKR)]]&gt;50000, Table1[[#This Row],[Discount %]]&lt;10),"High Value","Standard")</f>
        <v>Standard</v>
      </c>
      <c r="T407" s="3" t="s">
        <v>30</v>
      </c>
      <c r="U407" s="7" t="s">
        <v>56</v>
      </c>
      <c r="V407" s="20" t="s">
        <v>163</v>
      </c>
    </row>
    <row r="408" spans="1:22" x14ac:dyDescent="0.25">
      <c r="A408" s="4" t="s">
        <v>716</v>
      </c>
      <c r="B408" s="15">
        <f>DATEVALUE(Table1[[#This Row],[Date2]])</f>
        <v>45630</v>
      </c>
      <c r="C408" s="2" t="str">
        <f>TEXT(Table1[[#This Row],[Date]],"MMM")</f>
        <v>Dec</v>
      </c>
      <c r="D408" s="2" t="str">
        <f>"Q"&amp;ROUNDUP(MONTH(Table1[[#This Row],[Date]])/3,0)</f>
        <v>Q4</v>
      </c>
      <c r="E408" s="2">
        <f>YEAR(Table1[[#This Row],[Date]])</f>
        <v>2024</v>
      </c>
      <c r="F408" s="2" t="s">
        <v>18</v>
      </c>
      <c r="G408" s="2" t="s">
        <v>19</v>
      </c>
      <c r="H408" s="2" t="s">
        <v>28</v>
      </c>
      <c r="I408" s="2" t="s">
        <v>29</v>
      </c>
      <c r="J408" s="2">
        <v>14</v>
      </c>
      <c r="K408" s="2">
        <v>25000</v>
      </c>
      <c r="L408" s="2">
        <v>15</v>
      </c>
      <c r="M408" s="2">
        <v>297500</v>
      </c>
      <c r="N408" s="23">
        <f>(Table1[[#This Row],[Profit (PKR)]]/Table1[[#This Row],[Total Revenue (PKR)]])</f>
        <v>0.15294117647058825</v>
      </c>
      <c r="O408" s="2">
        <v>18000</v>
      </c>
      <c r="P408" s="2">
        <v>252000</v>
      </c>
      <c r="Q408" s="2">
        <v>45500</v>
      </c>
      <c r="R408" s="2" t="s">
        <v>42</v>
      </c>
      <c r="S408" s="2" t="str">
        <f>IF(AND(Table1[[#This Row],[Total Revenue (PKR)]]&gt;50000, Table1[[#This Row],[Discount %]]&lt;10),"High Value","Standard")</f>
        <v>Standard</v>
      </c>
      <c r="T408" s="2" t="s">
        <v>43</v>
      </c>
      <c r="U408" s="6" t="s">
        <v>44</v>
      </c>
      <c r="V408" s="19" t="s">
        <v>717</v>
      </c>
    </row>
    <row r="409" spans="1:22" x14ac:dyDescent="0.25">
      <c r="A409" s="5" t="s">
        <v>718</v>
      </c>
      <c r="B409" s="16">
        <f>DATEVALUE(Table1[[#This Row],[Date2]])</f>
        <v>45534</v>
      </c>
      <c r="C409" s="3" t="str">
        <f>TEXT(Table1[[#This Row],[Date]],"MMM")</f>
        <v>Aug</v>
      </c>
      <c r="D409" s="3" t="str">
        <f>"Q"&amp;ROUNDUP(MONTH(Table1[[#This Row],[Date]])/3,0)</f>
        <v>Q3</v>
      </c>
      <c r="E409" s="3">
        <f>YEAR(Table1[[#This Row],[Date]])</f>
        <v>2024</v>
      </c>
      <c r="F409" s="3" t="s">
        <v>92</v>
      </c>
      <c r="G409" s="3" t="s">
        <v>64</v>
      </c>
      <c r="H409" s="3" t="s">
        <v>28</v>
      </c>
      <c r="I409" s="3" t="s">
        <v>274</v>
      </c>
      <c r="J409" s="3">
        <v>14</v>
      </c>
      <c r="K409" s="3">
        <v>35000</v>
      </c>
      <c r="L409" s="3">
        <v>25</v>
      </c>
      <c r="M409" s="3">
        <v>367500</v>
      </c>
      <c r="N409" s="24">
        <f>(Table1[[#This Row],[Profit (PKR)]]/Table1[[#This Row],[Total Revenue (PKR)]])</f>
        <v>9.5238095238095247E-3</v>
      </c>
      <c r="O409" s="3">
        <v>26000</v>
      </c>
      <c r="P409" s="3">
        <v>364000</v>
      </c>
      <c r="Q409" s="3">
        <v>3500</v>
      </c>
      <c r="R409" s="3" t="s">
        <v>22</v>
      </c>
      <c r="S409" s="3" t="str">
        <f>IF(AND(Table1[[#This Row],[Total Revenue (PKR)]]&gt;50000, Table1[[#This Row],[Discount %]]&lt;10),"High Value","Standard")</f>
        <v>Standard</v>
      </c>
      <c r="T409" s="3" t="s">
        <v>23</v>
      </c>
      <c r="U409" s="7" t="s">
        <v>44</v>
      </c>
      <c r="V409" s="20" t="s">
        <v>435</v>
      </c>
    </row>
    <row r="410" spans="1:22" x14ac:dyDescent="0.25">
      <c r="A410" s="4" t="s">
        <v>719</v>
      </c>
      <c r="B410" s="15">
        <f>DATEVALUE(Table1[[#This Row],[Date2]])</f>
        <v>45610</v>
      </c>
      <c r="C410" s="2" t="str">
        <f>TEXT(Table1[[#This Row],[Date]],"MMM")</f>
        <v>Nov</v>
      </c>
      <c r="D410" s="2" t="str">
        <f>"Q"&amp;ROUNDUP(MONTH(Table1[[#This Row],[Date]])/3,0)</f>
        <v>Q4</v>
      </c>
      <c r="E410" s="2">
        <f>YEAR(Table1[[#This Row],[Date]])</f>
        <v>2024</v>
      </c>
      <c r="F410" s="2" t="s">
        <v>47</v>
      </c>
      <c r="G410" s="2" t="s">
        <v>40</v>
      </c>
      <c r="H410" s="2" t="s">
        <v>93</v>
      </c>
      <c r="I410" s="2" t="s">
        <v>119</v>
      </c>
      <c r="J410" s="2">
        <v>17</v>
      </c>
      <c r="K410" s="2">
        <v>800</v>
      </c>
      <c r="L410" s="2">
        <v>25</v>
      </c>
      <c r="M410" s="2">
        <v>10200</v>
      </c>
      <c r="N410" s="23">
        <f>(Table1[[#This Row],[Profit (PKR)]]/Table1[[#This Row],[Total Revenue (PKR)]])</f>
        <v>0</v>
      </c>
      <c r="O410" s="2">
        <v>600</v>
      </c>
      <c r="P410" s="2">
        <v>10200</v>
      </c>
      <c r="Q410" s="2">
        <v>0</v>
      </c>
      <c r="R410" s="2" t="s">
        <v>22</v>
      </c>
      <c r="S410" s="2" t="str">
        <f>IF(AND(Table1[[#This Row],[Total Revenue (PKR)]]&gt;50000, Table1[[#This Row],[Discount %]]&lt;10),"High Value","Standard")</f>
        <v>Standard</v>
      </c>
      <c r="T410" s="2" t="s">
        <v>55</v>
      </c>
      <c r="U410" s="6" t="s">
        <v>44</v>
      </c>
      <c r="V410" s="19" t="s">
        <v>198</v>
      </c>
    </row>
    <row r="411" spans="1:22" x14ac:dyDescent="0.25">
      <c r="A411" s="5" t="s">
        <v>720</v>
      </c>
      <c r="B411" s="16">
        <f>DATEVALUE(Table1[[#This Row],[Date2]])</f>
        <v>45346</v>
      </c>
      <c r="C411" s="3" t="str">
        <f>TEXT(Table1[[#This Row],[Date]],"MMM")</f>
        <v>Feb</v>
      </c>
      <c r="D411" s="3" t="str">
        <f>"Q"&amp;ROUNDUP(MONTH(Table1[[#This Row],[Date]])/3,0)</f>
        <v>Q1</v>
      </c>
      <c r="E411" s="3">
        <f>YEAR(Table1[[#This Row],[Date]])</f>
        <v>2024</v>
      </c>
      <c r="F411" s="3" t="s">
        <v>122</v>
      </c>
      <c r="G411" s="3" t="s">
        <v>64</v>
      </c>
      <c r="H411" s="3" t="s">
        <v>53</v>
      </c>
      <c r="I411" s="3" t="s">
        <v>54</v>
      </c>
      <c r="J411" s="3">
        <v>9</v>
      </c>
      <c r="K411" s="3">
        <v>2000</v>
      </c>
      <c r="L411" s="3">
        <v>20</v>
      </c>
      <c r="M411" s="3">
        <v>14400</v>
      </c>
      <c r="N411" s="24">
        <f>(Table1[[#This Row],[Profit (PKR)]]/Table1[[#This Row],[Total Revenue (PKR)]])</f>
        <v>0.25</v>
      </c>
      <c r="O411" s="3">
        <v>1200</v>
      </c>
      <c r="P411" s="3">
        <v>10800</v>
      </c>
      <c r="Q411" s="3">
        <v>3600</v>
      </c>
      <c r="R411" s="3" t="s">
        <v>22</v>
      </c>
      <c r="S411" s="3" t="str">
        <f>IF(AND(Table1[[#This Row],[Total Revenue (PKR)]]&gt;50000, Table1[[#This Row],[Discount %]]&lt;10),"High Value","Standard")</f>
        <v>Standard</v>
      </c>
      <c r="T411" s="3" t="s">
        <v>55</v>
      </c>
      <c r="U411" s="7" t="s">
        <v>24</v>
      </c>
      <c r="V411" s="20" t="s">
        <v>175</v>
      </c>
    </row>
    <row r="412" spans="1:22" x14ac:dyDescent="0.25">
      <c r="A412" s="4" t="s">
        <v>721</v>
      </c>
      <c r="B412" s="15">
        <f>DATEVALUE(Table1[[#This Row],[Date2]])</f>
        <v>45443</v>
      </c>
      <c r="C412" s="2" t="str">
        <f>TEXT(Table1[[#This Row],[Date]],"MMM")</f>
        <v>May</v>
      </c>
      <c r="D412" s="2" t="str">
        <f>"Q"&amp;ROUNDUP(MONTH(Table1[[#This Row],[Date]])/3,0)</f>
        <v>Q2</v>
      </c>
      <c r="E412" s="2">
        <f>YEAR(Table1[[#This Row],[Date]])</f>
        <v>2024</v>
      </c>
      <c r="F412" s="2" t="s">
        <v>92</v>
      </c>
      <c r="G412" s="2" t="s">
        <v>19</v>
      </c>
      <c r="H412" s="2" t="s">
        <v>53</v>
      </c>
      <c r="I412" s="2" t="s">
        <v>71</v>
      </c>
      <c r="J412" s="2">
        <v>7</v>
      </c>
      <c r="K412" s="2">
        <v>8000</v>
      </c>
      <c r="L412" s="2">
        <v>25</v>
      </c>
      <c r="M412" s="2">
        <v>42000</v>
      </c>
      <c r="N412" s="23">
        <f>(Table1[[#This Row],[Profit (PKR)]]/Table1[[#This Row],[Total Revenue (PKR)]])</f>
        <v>0.16666666666666666</v>
      </c>
      <c r="O412" s="2">
        <v>5000</v>
      </c>
      <c r="P412" s="2">
        <v>35000</v>
      </c>
      <c r="Q412" s="2">
        <v>7000</v>
      </c>
      <c r="R412" s="2" t="s">
        <v>42</v>
      </c>
      <c r="S412" s="2" t="str">
        <f>IF(AND(Table1[[#This Row],[Total Revenue (PKR)]]&gt;50000, Table1[[#This Row],[Discount %]]&lt;10),"High Value","Standard")</f>
        <v>Standard</v>
      </c>
      <c r="T412" s="2" t="s">
        <v>55</v>
      </c>
      <c r="U412" s="6" t="s">
        <v>44</v>
      </c>
      <c r="V412" s="19" t="s">
        <v>223</v>
      </c>
    </row>
    <row r="413" spans="1:22" x14ac:dyDescent="0.25">
      <c r="A413" s="5" t="s">
        <v>722</v>
      </c>
      <c r="B413" s="16">
        <f>DATEVALUE(Table1[[#This Row],[Date2]])</f>
        <v>45298</v>
      </c>
      <c r="C413" s="3" t="str">
        <f>TEXT(Table1[[#This Row],[Date]],"MMM")</f>
        <v>Jan</v>
      </c>
      <c r="D413" s="3" t="str">
        <f>"Q"&amp;ROUNDUP(MONTH(Table1[[#This Row],[Date]])/3,0)</f>
        <v>Q1</v>
      </c>
      <c r="E413" s="3">
        <f>YEAR(Table1[[#This Row],[Date]])</f>
        <v>2024</v>
      </c>
      <c r="F413" s="3" t="s">
        <v>18</v>
      </c>
      <c r="G413" s="3" t="s">
        <v>159</v>
      </c>
      <c r="H413" s="3" t="s">
        <v>53</v>
      </c>
      <c r="I413" s="3" t="s">
        <v>71</v>
      </c>
      <c r="J413" s="3">
        <v>5</v>
      </c>
      <c r="K413" s="3">
        <v>8000</v>
      </c>
      <c r="L413" s="3">
        <v>0</v>
      </c>
      <c r="M413" s="3">
        <v>40000</v>
      </c>
      <c r="N413" s="24">
        <f>(Table1[[#This Row],[Profit (PKR)]]/Table1[[#This Row],[Total Revenue (PKR)]])</f>
        <v>0.375</v>
      </c>
      <c r="O413" s="3">
        <v>5000</v>
      </c>
      <c r="P413" s="3">
        <v>25000</v>
      </c>
      <c r="Q413" s="3">
        <v>15000</v>
      </c>
      <c r="R413" s="3" t="s">
        <v>22</v>
      </c>
      <c r="S413" s="3" t="str">
        <f>IF(AND(Table1[[#This Row],[Total Revenue (PKR)]]&gt;50000, Table1[[#This Row],[Discount %]]&lt;10),"High Value","Standard")</f>
        <v>Standard</v>
      </c>
      <c r="T413" s="3" t="s">
        <v>23</v>
      </c>
      <c r="U413" s="7" t="s">
        <v>24</v>
      </c>
      <c r="V413" s="20" t="s">
        <v>723</v>
      </c>
    </row>
    <row r="414" spans="1:22" x14ac:dyDescent="0.25">
      <c r="A414" s="4" t="s">
        <v>724</v>
      </c>
      <c r="B414" s="15">
        <f>DATEVALUE(Table1[[#This Row],[Date2]])</f>
        <v>45423</v>
      </c>
      <c r="C414" s="2" t="str">
        <f>TEXT(Table1[[#This Row],[Date]],"MMM")</f>
        <v>May</v>
      </c>
      <c r="D414" s="2" t="str">
        <f>"Q"&amp;ROUNDUP(MONTH(Table1[[#This Row],[Date]])/3,0)</f>
        <v>Q2</v>
      </c>
      <c r="E414" s="2">
        <f>YEAR(Table1[[#This Row],[Date]])</f>
        <v>2024</v>
      </c>
      <c r="F414" s="2" t="s">
        <v>33</v>
      </c>
      <c r="G414" s="2" t="s">
        <v>74</v>
      </c>
      <c r="H414" s="2" t="s">
        <v>20</v>
      </c>
      <c r="I414" s="2" t="s">
        <v>182</v>
      </c>
      <c r="J414" s="2">
        <v>15</v>
      </c>
      <c r="K414" s="2">
        <v>5000</v>
      </c>
      <c r="L414" s="2">
        <v>0</v>
      </c>
      <c r="M414" s="2">
        <v>75000</v>
      </c>
      <c r="N414" s="23">
        <f>(Table1[[#This Row],[Profit (PKR)]]/Table1[[#This Row],[Total Revenue (PKR)]])</f>
        <v>0.4</v>
      </c>
      <c r="O414" s="2">
        <v>3000</v>
      </c>
      <c r="P414" s="2">
        <v>45000</v>
      </c>
      <c r="Q414" s="2">
        <v>30000</v>
      </c>
      <c r="R414" s="2" t="s">
        <v>22</v>
      </c>
      <c r="S414" s="2" t="str">
        <f>IF(AND(Table1[[#This Row],[Total Revenue (PKR)]]&gt;50000, Table1[[#This Row],[Discount %]]&lt;10),"High Value","Standard")</f>
        <v>High Value</v>
      </c>
      <c r="T414" s="2" t="s">
        <v>36</v>
      </c>
      <c r="U414" s="6" t="s">
        <v>86</v>
      </c>
      <c r="V414" s="19" t="s">
        <v>725</v>
      </c>
    </row>
    <row r="415" spans="1:22" x14ac:dyDescent="0.25">
      <c r="A415" s="5" t="s">
        <v>726</v>
      </c>
      <c r="B415" s="16">
        <f>DATEVALUE(Table1[[#This Row],[Date2]])</f>
        <v>45440</v>
      </c>
      <c r="C415" s="3" t="str">
        <f>TEXT(Table1[[#This Row],[Date]],"MMM")</f>
        <v>May</v>
      </c>
      <c r="D415" s="3" t="str">
        <f>"Q"&amp;ROUNDUP(MONTH(Table1[[#This Row],[Date]])/3,0)</f>
        <v>Q2</v>
      </c>
      <c r="E415" s="3">
        <f>YEAR(Table1[[#This Row],[Date]])</f>
        <v>2024</v>
      </c>
      <c r="F415" s="3" t="s">
        <v>100</v>
      </c>
      <c r="G415" s="3" t="s">
        <v>52</v>
      </c>
      <c r="H415" s="3" t="s">
        <v>93</v>
      </c>
      <c r="I415" s="3" t="s">
        <v>119</v>
      </c>
      <c r="J415" s="3">
        <v>4</v>
      </c>
      <c r="K415" s="3">
        <v>800</v>
      </c>
      <c r="L415" s="3">
        <v>0</v>
      </c>
      <c r="M415" s="3">
        <v>3200</v>
      </c>
      <c r="N415" s="24">
        <f>(Table1[[#This Row],[Profit (PKR)]]/Table1[[#This Row],[Total Revenue (PKR)]])</f>
        <v>0.25</v>
      </c>
      <c r="O415" s="3">
        <v>600</v>
      </c>
      <c r="P415" s="3">
        <v>2400</v>
      </c>
      <c r="Q415" s="3">
        <v>800</v>
      </c>
      <c r="R415" s="3" t="s">
        <v>22</v>
      </c>
      <c r="S415" s="3" t="str">
        <f>IF(AND(Table1[[#This Row],[Total Revenue (PKR)]]&gt;50000, Table1[[#This Row],[Discount %]]&lt;10),"High Value","Standard")</f>
        <v>Standard</v>
      </c>
      <c r="T415" s="3" t="s">
        <v>36</v>
      </c>
      <c r="U415" s="7" t="s">
        <v>24</v>
      </c>
      <c r="V415" s="20" t="s">
        <v>485</v>
      </c>
    </row>
    <row r="416" spans="1:22" x14ac:dyDescent="0.25">
      <c r="A416" s="4" t="s">
        <v>727</v>
      </c>
      <c r="B416" s="15">
        <f>DATEVALUE(Table1[[#This Row],[Date2]])</f>
        <v>45379</v>
      </c>
      <c r="C416" s="2" t="str">
        <f>TEXT(Table1[[#This Row],[Date]],"MMM")</f>
        <v>Mar</v>
      </c>
      <c r="D416" s="2" t="str">
        <f>"Q"&amp;ROUNDUP(MONTH(Table1[[#This Row],[Date]])/3,0)</f>
        <v>Q1</v>
      </c>
      <c r="E416" s="2">
        <f>YEAR(Table1[[#This Row],[Date]])</f>
        <v>2024</v>
      </c>
      <c r="F416" s="2" t="s">
        <v>100</v>
      </c>
      <c r="G416" s="2" t="s">
        <v>52</v>
      </c>
      <c r="H416" s="2" t="s">
        <v>93</v>
      </c>
      <c r="I416" s="2" t="s">
        <v>94</v>
      </c>
      <c r="J416" s="2">
        <v>9</v>
      </c>
      <c r="K416" s="2">
        <v>1200</v>
      </c>
      <c r="L416" s="2">
        <v>25</v>
      </c>
      <c r="M416" s="2">
        <v>8100</v>
      </c>
      <c r="N416" s="23">
        <f>(Table1[[#This Row],[Profit (PKR)]]/Table1[[#This Row],[Total Revenue (PKR)]])</f>
        <v>0</v>
      </c>
      <c r="O416" s="2">
        <v>900</v>
      </c>
      <c r="P416" s="2">
        <v>8100</v>
      </c>
      <c r="Q416" s="2">
        <v>0</v>
      </c>
      <c r="R416" s="2" t="s">
        <v>22</v>
      </c>
      <c r="S416" s="2" t="str">
        <f>IF(AND(Table1[[#This Row],[Total Revenue (PKR)]]&gt;50000, Table1[[#This Row],[Discount %]]&lt;10),"High Value","Standard")</f>
        <v>Standard</v>
      </c>
      <c r="T416" s="2" t="s">
        <v>55</v>
      </c>
      <c r="U416" s="6" t="s">
        <v>86</v>
      </c>
      <c r="V416" s="19" t="s">
        <v>728</v>
      </c>
    </row>
    <row r="417" spans="1:22" x14ac:dyDescent="0.25">
      <c r="A417" s="5" t="s">
        <v>729</v>
      </c>
      <c r="B417" s="16">
        <f>DATEVALUE(Table1[[#This Row],[Date2]])</f>
        <v>45385</v>
      </c>
      <c r="C417" s="3" t="str">
        <f>TEXT(Table1[[#This Row],[Date]],"MMM")</f>
        <v>Apr</v>
      </c>
      <c r="D417" s="3" t="str">
        <f>"Q"&amp;ROUNDUP(MONTH(Table1[[#This Row],[Date]])/3,0)</f>
        <v>Q2</v>
      </c>
      <c r="E417" s="3">
        <f>YEAR(Table1[[#This Row],[Date]])</f>
        <v>2024</v>
      </c>
      <c r="F417" s="3" t="s">
        <v>18</v>
      </c>
      <c r="G417" s="3" t="s">
        <v>27</v>
      </c>
      <c r="H417" s="3" t="s">
        <v>93</v>
      </c>
      <c r="I417" s="3" t="s">
        <v>109</v>
      </c>
      <c r="J417" s="3">
        <v>9</v>
      </c>
      <c r="K417" s="3">
        <v>700</v>
      </c>
      <c r="L417" s="3">
        <v>15</v>
      </c>
      <c r="M417" s="3">
        <v>5355</v>
      </c>
      <c r="N417" s="24">
        <f>(Table1[[#This Row],[Profit (PKR)]]/Table1[[#This Row],[Total Revenue (PKR)]])</f>
        <v>0.15966386554621848</v>
      </c>
      <c r="O417" s="3">
        <v>500</v>
      </c>
      <c r="P417" s="3">
        <v>4500</v>
      </c>
      <c r="Q417" s="3">
        <v>855</v>
      </c>
      <c r="R417" s="3" t="s">
        <v>42</v>
      </c>
      <c r="S417" s="3" t="str">
        <f>IF(AND(Table1[[#This Row],[Total Revenue (PKR)]]&gt;50000, Table1[[#This Row],[Discount %]]&lt;10),"High Value","Standard")</f>
        <v>Standard</v>
      </c>
      <c r="T417" s="3" t="s">
        <v>66</v>
      </c>
      <c r="U417" s="7" t="s">
        <v>24</v>
      </c>
      <c r="V417" s="20" t="s">
        <v>700</v>
      </c>
    </row>
    <row r="418" spans="1:22" x14ac:dyDescent="0.25">
      <c r="A418" s="4" t="s">
        <v>730</v>
      </c>
      <c r="B418" s="15">
        <f>DATEVALUE(Table1[[#This Row],[Date2]])</f>
        <v>45377</v>
      </c>
      <c r="C418" s="2" t="str">
        <f>TEXT(Table1[[#This Row],[Date]],"MMM")</f>
        <v>Mar</v>
      </c>
      <c r="D418" s="2" t="str">
        <f>"Q"&amp;ROUNDUP(MONTH(Table1[[#This Row],[Date]])/3,0)</f>
        <v>Q1</v>
      </c>
      <c r="E418" s="2">
        <f>YEAR(Table1[[#This Row],[Date]])</f>
        <v>2024</v>
      </c>
      <c r="F418" s="2" t="s">
        <v>18</v>
      </c>
      <c r="G418" s="2" t="s">
        <v>40</v>
      </c>
      <c r="H418" s="2" t="s">
        <v>28</v>
      </c>
      <c r="I418" s="2" t="s">
        <v>116</v>
      </c>
      <c r="J418" s="2">
        <v>4</v>
      </c>
      <c r="K418" s="2">
        <v>85000</v>
      </c>
      <c r="L418" s="2">
        <v>15</v>
      </c>
      <c r="M418" s="2">
        <v>289000</v>
      </c>
      <c r="N418" s="23">
        <f>(Table1[[#This Row],[Profit (PKR)]]/Table1[[#This Row],[Total Revenue (PKR)]])</f>
        <v>0.10034602076124567</v>
      </c>
      <c r="O418" s="2">
        <v>65000</v>
      </c>
      <c r="P418" s="2">
        <v>260000</v>
      </c>
      <c r="Q418" s="2">
        <v>29000</v>
      </c>
      <c r="R418" s="2" t="s">
        <v>42</v>
      </c>
      <c r="S418" s="2" t="str">
        <f>IF(AND(Table1[[#This Row],[Total Revenue (PKR)]]&gt;50000, Table1[[#This Row],[Discount %]]&lt;10),"High Value","Standard")</f>
        <v>Standard</v>
      </c>
      <c r="T418" s="2" t="s">
        <v>30</v>
      </c>
      <c r="U418" s="6" t="s">
        <v>24</v>
      </c>
      <c r="V418" s="19" t="s">
        <v>731</v>
      </c>
    </row>
    <row r="419" spans="1:22" x14ac:dyDescent="0.25">
      <c r="A419" s="5" t="s">
        <v>732</v>
      </c>
      <c r="B419" s="16">
        <f>DATEVALUE(Table1[[#This Row],[Date2]])</f>
        <v>45384</v>
      </c>
      <c r="C419" s="3" t="str">
        <f>TEXT(Table1[[#This Row],[Date]],"MMM")</f>
        <v>Apr</v>
      </c>
      <c r="D419" s="3" t="str">
        <f>"Q"&amp;ROUNDUP(MONTH(Table1[[#This Row],[Date]])/3,0)</f>
        <v>Q2</v>
      </c>
      <c r="E419" s="3">
        <f>YEAR(Table1[[#This Row],[Date]])</f>
        <v>2024</v>
      </c>
      <c r="F419" s="3" t="s">
        <v>47</v>
      </c>
      <c r="G419" s="3" t="s">
        <v>27</v>
      </c>
      <c r="H419" s="3" t="s">
        <v>20</v>
      </c>
      <c r="I419" s="3" t="s">
        <v>137</v>
      </c>
      <c r="J419" s="3">
        <v>1</v>
      </c>
      <c r="K419" s="3">
        <v>15000</v>
      </c>
      <c r="L419" s="3">
        <v>25</v>
      </c>
      <c r="M419" s="3">
        <v>11250</v>
      </c>
      <c r="N419" s="24">
        <f>(Table1[[#This Row],[Profit (PKR)]]/Table1[[#This Row],[Total Revenue (PKR)]])</f>
        <v>0.1111111111111111</v>
      </c>
      <c r="O419" s="3">
        <v>10000</v>
      </c>
      <c r="P419" s="3">
        <v>10000</v>
      </c>
      <c r="Q419" s="3">
        <v>1250</v>
      </c>
      <c r="R419" s="3" t="s">
        <v>22</v>
      </c>
      <c r="S419" s="3" t="str">
        <f>IF(AND(Table1[[#This Row],[Total Revenue (PKR)]]&gt;50000, Table1[[#This Row],[Discount %]]&lt;10),"High Value","Standard")</f>
        <v>Standard</v>
      </c>
      <c r="T419" s="3" t="s">
        <v>66</v>
      </c>
      <c r="U419" s="7" t="s">
        <v>95</v>
      </c>
      <c r="V419" s="20" t="s">
        <v>705</v>
      </c>
    </row>
    <row r="420" spans="1:22" x14ac:dyDescent="0.25">
      <c r="A420" s="4" t="s">
        <v>733</v>
      </c>
      <c r="B420" s="15">
        <f>DATEVALUE(Table1[[#This Row],[Date2]])</f>
        <v>45349</v>
      </c>
      <c r="C420" s="2" t="str">
        <f>TEXT(Table1[[#This Row],[Date]],"MMM")</f>
        <v>Feb</v>
      </c>
      <c r="D420" s="2" t="str">
        <f>"Q"&amp;ROUNDUP(MONTH(Table1[[#This Row],[Date]])/3,0)</f>
        <v>Q1</v>
      </c>
      <c r="E420" s="2">
        <f>YEAR(Table1[[#This Row],[Date]])</f>
        <v>2024</v>
      </c>
      <c r="F420" s="2" t="s">
        <v>77</v>
      </c>
      <c r="G420" s="2" t="s">
        <v>74</v>
      </c>
      <c r="H420" s="2" t="s">
        <v>28</v>
      </c>
      <c r="I420" s="2" t="s">
        <v>29</v>
      </c>
      <c r="J420" s="2">
        <v>9</v>
      </c>
      <c r="K420" s="2">
        <v>25000</v>
      </c>
      <c r="L420" s="2">
        <v>25</v>
      </c>
      <c r="M420" s="2">
        <v>168750</v>
      </c>
      <c r="N420" s="23">
        <f>(Table1[[#This Row],[Profit (PKR)]]/Table1[[#This Row],[Total Revenue (PKR)]])</f>
        <v>0.04</v>
      </c>
      <c r="O420" s="2">
        <v>18000</v>
      </c>
      <c r="P420" s="2">
        <v>162000</v>
      </c>
      <c r="Q420" s="2">
        <v>6750</v>
      </c>
      <c r="R420" s="2" t="s">
        <v>42</v>
      </c>
      <c r="S420" s="2" t="str">
        <f>IF(AND(Table1[[#This Row],[Total Revenue (PKR)]]&gt;50000, Table1[[#This Row],[Discount %]]&lt;10),"High Value","Standard")</f>
        <v>Standard</v>
      </c>
      <c r="T420" s="2" t="s">
        <v>43</v>
      </c>
      <c r="U420" s="6" t="s">
        <v>24</v>
      </c>
      <c r="V420" s="19" t="s">
        <v>734</v>
      </c>
    </row>
    <row r="421" spans="1:22" x14ac:dyDescent="0.25">
      <c r="A421" s="5" t="s">
        <v>735</v>
      </c>
      <c r="B421" s="16">
        <f>DATEVALUE(Table1[[#This Row],[Date2]])</f>
        <v>45639</v>
      </c>
      <c r="C421" s="3" t="str">
        <f>TEXT(Table1[[#This Row],[Date]],"MMM")</f>
        <v>Dec</v>
      </c>
      <c r="D421" s="3" t="str">
        <f>"Q"&amp;ROUNDUP(MONTH(Table1[[#This Row],[Date]])/3,0)</f>
        <v>Q4</v>
      </c>
      <c r="E421" s="3">
        <f>YEAR(Table1[[#This Row],[Date]])</f>
        <v>2024</v>
      </c>
      <c r="F421" s="3" t="s">
        <v>63</v>
      </c>
      <c r="G421" s="3" t="s">
        <v>64</v>
      </c>
      <c r="H421" s="3" t="s">
        <v>20</v>
      </c>
      <c r="I421" s="3" t="s">
        <v>137</v>
      </c>
      <c r="J421" s="3">
        <v>17</v>
      </c>
      <c r="K421" s="3">
        <v>15000</v>
      </c>
      <c r="L421" s="3">
        <v>25</v>
      </c>
      <c r="M421" s="3">
        <v>191250</v>
      </c>
      <c r="N421" s="24">
        <f>(Table1[[#This Row],[Profit (PKR)]]/Table1[[#This Row],[Total Revenue (PKR)]])</f>
        <v>0.1111111111111111</v>
      </c>
      <c r="O421" s="3">
        <v>10000</v>
      </c>
      <c r="P421" s="3">
        <v>170000</v>
      </c>
      <c r="Q421" s="3">
        <v>21250</v>
      </c>
      <c r="R421" s="3" t="s">
        <v>22</v>
      </c>
      <c r="S421" s="3" t="str">
        <f>IF(AND(Table1[[#This Row],[Total Revenue (PKR)]]&gt;50000, Table1[[#This Row],[Discount %]]&lt;10),"High Value","Standard")</f>
        <v>Standard</v>
      </c>
      <c r="T421" s="3" t="s">
        <v>66</v>
      </c>
      <c r="U421" s="7" t="s">
        <v>24</v>
      </c>
      <c r="V421" s="20" t="s">
        <v>736</v>
      </c>
    </row>
    <row r="422" spans="1:22" x14ac:dyDescent="0.25">
      <c r="A422" s="4" t="s">
        <v>737</v>
      </c>
      <c r="B422" s="15">
        <f>DATEVALUE(Table1[[#This Row],[Date2]])</f>
        <v>45419</v>
      </c>
      <c r="C422" s="2" t="str">
        <f>TEXT(Table1[[#This Row],[Date]],"MMM")</f>
        <v>May</v>
      </c>
      <c r="D422" s="2" t="str">
        <f>"Q"&amp;ROUNDUP(MONTH(Table1[[#This Row],[Date]])/3,0)</f>
        <v>Q2</v>
      </c>
      <c r="E422" s="2">
        <f>YEAR(Table1[[#This Row],[Date]])</f>
        <v>2024</v>
      </c>
      <c r="F422" s="2" t="s">
        <v>122</v>
      </c>
      <c r="G422" s="2" t="s">
        <v>52</v>
      </c>
      <c r="H422" s="2" t="s">
        <v>93</v>
      </c>
      <c r="I422" s="2" t="s">
        <v>188</v>
      </c>
      <c r="J422" s="2">
        <v>18</v>
      </c>
      <c r="K422" s="2">
        <v>1500</v>
      </c>
      <c r="L422" s="2">
        <v>20</v>
      </c>
      <c r="M422" s="2">
        <v>21600</v>
      </c>
      <c r="N422" s="23">
        <f>(Table1[[#This Row],[Profit (PKR)]]/Table1[[#This Row],[Total Revenue (PKR)]])</f>
        <v>8.3333333333333329E-2</v>
      </c>
      <c r="O422" s="2">
        <v>1100</v>
      </c>
      <c r="P422" s="2">
        <v>19800</v>
      </c>
      <c r="Q422" s="2">
        <v>1800</v>
      </c>
      <c r="R422" s="2" t="s">
        <v>22</v>
      </c>
      <c r="S422" s="2" t="str">
        <f>IF(AND(Table1[[#This Row],[Total Revenue (PKR)]]&gt;50000, Table1[[#This Row],[Discount %]]&lt;10),"High Value","Standard")</f>
        <v>Standard</v>
      </c>
      <c r="T422" s="2" t="s">
        <v>43</v>
      </c>
      <c r="U422" s="6" t="s">
        <v>24</v>
      </c>
      <c r="V422" s="19" t="s">
        <v>150</v>
      </c>
    </row>
    <row r="423" spans="1:22" x14ac:dyDescent="0.25">
      <c r="A423" s="5" t="s">
        <v>738</v>
      </c>
      <c r="B423" s="16">
        <f>DATEVALUE(Table1[[#This Row],[Date2]])</f>
        <v>45372</v>
      </c>
      <c r="C423" s="3" t="str">
        <f>TEXT(Table1[[#This Row],[Date]],"MMM")</f>
        <v>Mar</v>
      </c>
      <c r="D423" s="3" t="str">
        <f>"Q"&amp;ROUNDUP(MONTH(Table1[[#This Row],[Date]])/3,0)</f>
        <v>Q1</v>
      </c>
      <c r="E423" s="3">
        <f>YEAR(Table1[[#This Row],[Date]])</f>
        <v>2024</v>
      </c>
      <c r="F423" s="3" t="s">
        <v>63</v>
      </c>
      <c r="G423" s="3" t="s">
        <v>74</v>
      </c>
      <c r="H423" s="3" t="s">
        <v>93</v>
      </c>
      <c r="I423" s="3" t="s">
        <v>188</v>
      </c>
      <c r="J423" s="3">
        <v>3</v>
      </c>
      <c r="K423" s="3">
        <v>1500</v>
      </c>
      <c r="L423" s="3">
        <v>15</v>
      </c>
      <c r="M423" s="3">
        <v>3825</v>
      </c>
      <c r="N423" s="24">
        <f>(Table1[[#This Row],[Profit (PKR)]]/Table1[[#This Row],[Total Revenue (PKR)]])</f>
        <v>0.13725490196078433</v>
      </c>
      <c r="O423" s="3">
        <v>1100</v>
      </c>
      <c r="P423" s="3">
        <v>3300</v>
      </c>
      <c r="Q423" s="3">
        <v>525</v>
      </c>
      <c r="R423" s="3" t="s">
        <v>42</v>
      </c>
      <c r="S423" s="3" t="str">
        <f>IF(AND(Table1[[#This Row],[Total Revenue (PKR)]]&gt;50000, Table1[[#This Row],[Discount %]]&lt;10),"High Value","Standard")</f>
        <v>Standard</v>
      </c>
      <c r="T423" s="3" t="s">
        <v>36</v>
      </c>
      <c r="U423" s="7" t="s">
        <v>44</v>
      </c>
      <c r="V423" s="20" t="s">
        <v>232</v>
      </c>
    </row>
    <row r="424" spans="1:22" x14ac:dyDescent="0.25">
      <c r="A424" s="4" t="s">
        <v>739</v>
      </c>
      <c r="B424" s="15">
        <f>DATEVALUE(Table1[[#This Row],[Date2]])</f>
        <v>45434</v>
      </c>
      <c r="C424" s="2" t="str">
        <f>TEXT(Table1[[#This Row],[Date]],"MMM")</f>
        <v>May</v>
      </c>
      <c r="D424" s="2" t="str">
        <f>"Q"&amp;ROUNDUP(MONTH(Table1[[#This Row],[Date]])/3,0)</f>
        <v>Q2</v>
      </c>
      <c r="E424" s="2">
        <f>YEAR(Table1[[#This Row],[Date]])</f>
        <v>2024</v>
      </c>
      <c r="F424" s="2" t="s">
        <v>104</v>
      </c>
      <c r="G424" s="2" t="s">
        <v>64</v>
      </c>
      <c r="H424" s="2" t="s">
        <v>53</v>
      </c>
      <c r="I424" s="2" t="s">
        <v>71</v>
      </c>
      <c r="J424" s="2">
        <v>13</v>
      </c>
      <c r="K424" s="2">
        <v>8000</v>
      </c>
      <c r="L424" s="2">
        <v>5</v>
      </c>
      <c r="M424" s="2">
        <v>98800</v>
      </c>
      <c r="N424" s="23">
        <f>(Table1[[#This Row],[Profit (PKR)]]/Table1[[#This Row],[Total Revenue (PKR)]])</f>
        <v>0.34210526315789475</v>
      </c>
      <c r="O424" s="2">
        <v>5000</v>
      </c>
      <c r="P424" s="2">
        <v>65000</v>
      </c>
      <c r="Q424" s="2">
        <v>33800</v>
      </c>
      <c r="R424" s="2" t="s">
        <v>22</v>
      </c>
      <c r="S424" s="2" t="str">
        <f>IF(AND(Table1[[#This Row],[Total Revenue (PKR)]]&gt;50000, Table1[[#This Row],[Discount %]]&lt;10),"High Value","Standard")</f>
        <v>High Value</v>
      </c>
      <c r="T424" s="2" t="s">
        <v>66</v>
      </c>
      <c r="U424" s="6" t="s">
        <v>44</v>
      </c>
      <c r="V424" s="19" t="s">
        <v>321</v>
      </c>
    </row>
    <row r="425" spans="1:22" x14ac:dyDescent="0.25">
      <c r="A425" s="5" t="s">
        <v>740</v>
      </c>
      <c r="B425" s="16">
        <f>DATEVALUE(Table1[[#This Row],[Date2]])</f>
        <v>45585</v>
      </c>
      <c r="C425" s="3" t="str">
        <f>TEXT(Table1[[#This Row],[Date]],"MMM")</f>
        <v>Oct</v>
      </c>
      <c r="D425" s="3" t="str">
        <f>"Q"&amp;ROUNDUP(MONTH(Table1[[#This Row],[Date]])/3,0)</f>
        <v>Q4</v>
      </c>
      <c r="E425" s="3">
        <f>YEAR(Table1[[#This Row],[Date]])</f>
        <v>2024</v>
      </c>
      <c r="F425" s="3" t="s">
        <v>122</v>
      </c>
      <c r="G425" s="3" t="s">
        <v>159</v>
      </c>
      <c r="H425" s="3" t="s">
        <v>93</v>
      </c>
      <c r="I425" s="3" t="s">
        <v>109</v>
      </c>
      <c r="J425" s="3">
        <v>11</v>
      </c>
      <c r="K425" s="3">
        <v>700</v>
      </c>
      <c r="L425" s="3">
        <v>0</v>
      </c>
      <c r="M425" s="3">
        <v>7700</v>
      </c>
      <c r="N425" s="24">
        <f>(Table1[[#This Row],[Profit (PKR)]]/Table1[[#This Row],[Total Revenue (PKR)]])</f>
        <v>0.2857142857142857</v>
      </c>
      <c r="O425" s="3">
        <v>500</v>
      </c>
      <c r="P425" s="3">
        <v>5500</v>
      </c>
      <c r="Q425" s="3">
        <v>2200</v>
      </c>
      <c r="R425" s="3" t="s">
        <v>42</v>
      </c>
      <c r="S425" s="3" t="str">
        <f>IF(AND(Table1[[#This Row],[Total Revenue (PKR)]]&gt;50000, Table1[[#This Row],[Discount %]]&lt;10),"High Value","Standard")</f>
        <v>Standard</v>
      </c>
      <c r="T425" s="3" t="s">
        <v>23</v>
      </c>
      <c r="U425" s="7" t="s">
        <v>24</v>
      </c>
      <c r="V425" s="20" t="s">
        <v>741</v>
      </c>
    </row>
    <row r="426" spans="1:22" x14ac:dyDescent="0.25">
      <c r="A426" s="4" t="s">
        <v>742</v>
      </c>
      <c r="B426" s="15">
        <f>DATEVALUE(Table1[[#This Row],[Date2]])</f>
        <v>45344</v>
      </c>
      <c r="C426" s="2" t="str">
        <f>TEXT(Table1[[#This Row],[Date]],"MMM")</f>
        <v>Feb</v>
      </c>
      <c r="D426" s="2" t="str">
        <f>"Q"&amp;ROUNDUP(MONTH(Table1[[#This Row],[Date]])/3,0)</f>
        <v>Q1</v>
      </c>
      <c r="E426" s="2">
        <f>YEAR(Table1[[#This Row],[Date]])</f>
        <v>2024</v>
      </c>
      <c r="F426" s="2" t="s">
        <v>77</v>
      </c>
      <c r="G426" s="2" t="s">
        <v>27</v>
      </c>
      <c r="H426" s="2" t="s">
        <v>28</v>
      </c>
      <c r="I426" s="2" t="s">
        <v>127</v>
      </c>
      <c r="J426" s="2">
        <v>18</v>
      </c>
      <c r="K426" s="2">
        <v>15000</v>
      </c>
      <c r="L426" s="2">
        <v>0</v>
      </c>
      <c r="M426" s="2">
        <v>270000</v>
      </c>
      <c r="N426" s="23">
        <f>(Table1[[#This Row],[Profit (PKR)]]/Table1[[#This Row],[Total Revenue (PKR)]])</f>
        <v>0.33333333333333331</v>
      </c>
      <c r="O426" s="2">
        <v>10000</v>
      </c>
      <c r="P426" s="2">
        <v>180000</v>
      </c>
      <c r="Q426" s="2">
        <v>90000</v>
      </c>
      <c r="R426" s="2" t="s">
        <v>22</v>
      </c>
      <c r="S426" s="2" t="str">
        <f>IF(AND(Table1[[#This Row],[Total Revenue (PKR)]]&gt;50000, Table1[[#This Row],[Discount %]]&lt;10),"High Value","Standard")</f>
        <v>High Value</v>
      </c>
      <c r="T426" s="2" t="s">
        <v>30</v>
      </c>
      <c r="U426" s="6" t="s">
        <v>95</v>
      </c>
      <c r="V426" s="19" t="s">
        <v>391</v>
      </c>
    </row>
    <row r="427" spans="1:22" x14ac:dyDescent="0.25">
      <c r="A427" s="5" t="s">
        <v>743</v>
      </c>
      <c r="B427" s="16">
        <f>DATEVALUE(Table1[[#This Row],[Date2]])</f>
        <v>45618</v>
      </c>
      <c r="C427" s="3" t="str">
        <f>TEXT(Table1[[#This Row],[Date]],"MMM")</f>
        <v>Nov</v>
      </c>
      <c r="D427" s="3" t="str">
        <f>"Q"&amp;ROUNDUP(MONTH(Table1[[#This Row],[Date]])/3,0)</f>
        <v>Q4</v>
      </c>
      <c r="E427" s="3">
        <f>YEAR(Table1[[#This Row],[Date]])</f>
        <v>2024</v>
      </c>
      <c r="F427" s="3" t="s">
        <v>39</v>
      </c>
      <c r="G427" s="3" t="s">
        <v>64</v>
      </c>
      <c r="H427" s="3" t="s">
        <v>93</v>
      </c>
      <c r="I427" s="3" t="s">
        <v>98</v>
      </c>
      <c r="J427" s="3">
        <v>12</v>
      </c>
      <c r="K427" s="3">
        <v>400</v>
      </c>
      <c r="L427" s="3">
        <v>0</v>
      </c>
      <c r="M427" s="3">
        <v>4800</v>
      </c>
      <c r="N427" s="24">
        <f>(Table1[[#This Row],[Profit (PKR)]]/Table1[[#This Row],[Total Revenue (PKR)]])</f>
        <v>0.3</v>
      </c>
      <c r="O427" s="3">
        <v>280</v>
      </c>
      <c r="P427" s="3">
        <v>3360</v>
      </c>
      <c r="Q427" s="3">
        <v>1440</v>
      </c>
      <c r="R427" s="3" t="s">
        <v>22</v>
      </c>
      <c r="S427" s="3" t="str">
        <f>IF(AND(Table1[[#This Row],[Total Revenue (PKR)]]&gt;50000, Table1[[#This Row],[Discount %]]&lt;10),"High Value","Standard")</f>
        <v>Standard</v>
      </c>
      <c r="T427" s="3" t="s">
        <v>66</v>
      </c>
      <c r="U427" s="7" t="s">
        <v>44</v>
      </c>
      <c r="V427" s="20" t="s">
        <v>744</v>
      </c>
    </row>
    <row r="428" spans="1:22" x14ac:dyDescent="0.25">
      <c r="A428" s="4" t="s">
        <v>745</v>
      </c>
      <c r="B428" s="15">
        <f>DATEVALUE(Table1[[#This Row],[Date2]])</f>
        <v>45609</v>
      </c>
      <c r="C428" s="2" t="str">
        <f>TEXT(Table1[[#This Row],[Date]],"MMM")</f>
        <v>Nov</v>
      </c>
      <c r="D428" s="2" t="str">
        <f>"Q"&amp;ROUNDUP(MONTH(Table1[[#This Row],[Date]])/3,0)</f>
        <v>Q4</v>
      </c>
      <c r="E428" s="2">
        <f>YEAR(Table1[[#This Row],[Date]])</f>
        <v>2024</v>
      </c>
      <c r="F428" s="2" t="s">
        <v>47</v>
      </c>
      <c r="G428" s="2" t="s">
        <v>74</v>
      </c>
      <c r="H428" s="2" t="s">
        <v>20</v>
      </c>
      <c r="I428" s="2" t="s">
        <v>59</v>
      </c>
      <c r="J428" s="2">
        <v>4</v>
      </c>
      <c r="K428" s="2">
        <v>12000</v>
      </c>
      <c r="L428" s="2">
        <v>0</v>
      </c>
      <c r="M428" s="2">
        <v>48000</v>
      </c>
      <c r="N428" s="23">
        <f>(Table1[[#This Row],[Profit (PKR)]]/Table1[[#This Row],[Total Revenue (PKR)]])</f>
        <v>0.33333333333333331</v>
      </c>
      <c r="O428" s="2">
        <v>8000</v>
      </c>
      <c r="P428" s="2">
        <v>32000</v>
      </c>
      <c r="Q428" s="2">
        <v>16000</v>
      </c>
      <c r="R428" s="2" t="s">
        <v>22</v>
      </c>
      <c r="S428" s="2" t="str">
        <f>IF(AND(Table1[[#This Row],[Total Revenue (PKR)]]&gt;50000, Table1[[#This Row],[Discount %]]&lt;10),"High Value","Standard")</f>
        <v>Standard</v>
      </c>
      <c r="T428" s="2" t="s">
        <v>43</v>
      </c>
      <c r="U428" s="6" t="s">
        <v>44</v>
      </c>
      <c r="V428" s="19" t="s">
        <v>533</v>
      </c>
    </row>
    <row r="429" spans="1:22" x14ac:dyDescent="0.25">
      <c r="A429" s="5" t="s">
        <v>746</v>
      </c>
      <c r="B429" s="16">
        <f>DATEVALUE(Table1[[#This Row],[Date2]])</f>
        <v>45616</v>
      </c>
      <c r="C429" s="3" t="str">
        <f>TEXT(Table1[[#This Row],[Date]],"MMM")</f>
        <v>Nov</v>
      </c>
      <c r="D429" s="3" t="str">
        <f>"Q"&amp;ROUNDUP(MONTH(Table1[[#This Row],[Date]])/3,0)</f>
        <v>Q4</v>
      </c>
      <c r="E429" s="3">
        <f>YEAR(Table1[[#This Row],[Date]])</f>
        <v>2024</v>
      </c>
      <c r="F429" s="3" t="s">
        <v>39</v>
      </c>
      <c r="G429" s="3" t="s">
        <v>52</v>
      </c>
      <c r="H429" s="3" t="s">
        <v>28</v>
      </c>
      <c r="I429" s="3" t="s">
        <v>29</v>
      </c>
      <c r="J429" s="3">
        <v>6</v>
      </c>
      <c r="K429" s="3">
        <v>25000</v>
      </c>
      <c r="L429" s="3">
        <v>15</v>
      </c>
      <c r="M429" s="3">
        <v>127500</v>
      </c>
      <c r="N429" s="24">
        <f>(Table1[[#This Row],[Profit (PKR)]]/Table1[[#This Row],[Total Revenue (PKR)]])</f>
        <v>0.15294117647058825</v>
      </c>
      <c r="O429" s="3">
        <v>18000</v>
      </c>
      <c r="P429" s="3">
        <v>108000</v>
      </c>
      <c r="Q429" s="3">
        <v>19500</v>
      </c>
      <c r="R429" s="3" t="s">
        <v>22</v>
      </c>
      <c r="S429" s="3" t="str">
        <f>IF(AND(Table1[[#This Row],[Total Revenue (PKR)]]&gt;50000, Table1[[#This Row],[Discount %]]&lt;10),"High Value","Standard")</f>
        <v>Standard</v>
      </c>
      <c r="T429" s="3" t="s">
        <v>23</v>
      </c>
      <c r="U429" s="7" t="s">
        <v>24</v>
      </c>
      <c r="V429" s="20" t="s">
        <v>311</v>
      </c>
    </row>
    <row r="430" spans="1:22" x14ac:dyDescent="0.25">
      <c r="A430" s="4" t="s">
        <v>747</v>
      </c>
      <c r="B430" s="15">
        <f>DATEVALUE(Table1[[#This Row],[Date2]])</f>
        <v>45501</v>
      </c>
      <c r="C430" s="2" t="str">
        <f>TEXT(Table1[[#This Row],[Date]],"MMM")</f>
        <v>Jul</v>
      </c>
      <c r="D430" s="2" t="str">
        <f>"Q"&amp;ROUNDUP(MONTH(Table1[[#This Row],[Date]])/3,0)</f>
        <v>Q3</v>
      </c>
      <c r="E430" s="2">
        <f>YEAR(Table1[[#This Row],[Date]])</f>
        <v>2024</v>
      </c>
      <c r="F430" s="2" t="s">
        <v>18</v>
      </c>
      <c r="G430" s="2" t="s">
        <v>48</v>
      </c>
      <c r="H430" s="2" t="s">
        <v>53</v>
      </c>
      <c r="I430" s="2" t="s">
        <v>54</v>
      </c>
      <c r="J430" s="2">
        <v>7</v>
      </c>
      <c r="K430" s="2">
        <v>2000</v>
      </c>
      <c r="L430" s="2">
        <v>0</v>
      </c>
      <c r="M430" s="2">
        <v>14000</v>
      </c>
      <c r="N430" s="23">
        <f>(Table1[[#This Row],[Profit (PKR)]]/Table1[[#This Row],[Total Revenue (PKR)]])</f>
        <v>0.4</v>
      </c>
      <c r="O430" s="2">
        <v>1200</v>
      </c>
      <c r="P430" s="2">
        <v>8400</v>
      </c>
      <c r="Q430" s="2">
        <v>5600</v>
      </c>
      <c r="R430" s="2" t="s">
        <v>42</v>
      </c>
      <c r="S430" s="2" t="str">
        <f>IF(AND(Table1[[#This Row],[Total Revenue (PKR)]]&gt;50000, Table1[[#This Row],[Discount %]]&lt;10),"High Value","Standard")</f>
        <v>Standard</v>
      </c>
      <c r="T430" s="2" t="s">
        <v>36</v>
      </c>
      <c r="U430" s="6" t="s">
        <v>44</v>
      </c>
      <c r="V430" s="19" t="s">
        <v>267</v>
      </c>
    </row>
    <row r="431" spans="1:22" x14ac:dyDescent="0.25">
      <c r="A431" s="5" t="s">
        <v>748</v>
      </c>
      <c r="B431" s="16">
        <f>DATEVALUE(Table1[[#This Row],[Date2]])</f>
        <v>45389</v>
      </c>
      <c r="C431" s="3" t="str">
        <f>TEXT(Table1[[#This Row],[Date]],"MMM")</f>
        <v>Apr</v>
      </c>
      <c r="D431" s="3" t="str">
        <f>"Q"&amp;ROUNDUP(MONTH(Table1[[#This Row],[Date]])/3,0)</f>
        <v>Q2</v>
      </c>
      <c r="E431" s="3">
        <f>YEAR(Table1[[#This Row],[Date]])</f>
        <v>2024</v>
      </c>
      <c r="F431" s="3" t="s">
        <v>100</v>
      </c>
      <c r="G431" s="3" t="s">
        <v>159</v>
      </c>
      <c r="H431" s="3" t="s">
        <v>93</v>
      </c>
      <c r="I431" s="3" t="s">
        <v>119</v>
      </c>
      <c r="J431" s="3">
        <v>19</v>
      </c>
      <c r="K431" s="3">
        <v>800</v>
      </c>
      <c r="L431" s="3">
        <v>0</v>
      </c>
      <c r="M431" s="3">
        <v>15200</v>
      </c>
      <c r="N431" s="24">
        <f>(Table1[[#This Row],[Profit (PKR)]]/Table1[[#This Row],[Total Revenue (PKR)]])</f>
        <v>0.25</v>
      </c>
      <c r="O431" s="3">
        <v>600</v>
      </c>
      <c r="P431" s="3">
        <v>11400</v>
      </c>
      <c r="Q431" s="3">
        <v>3800</v>
      </c>
      <c r="R431" s="3" t="s">
        <v>42</v>
      </c>
      <c r="S431" s="3" t="str">
        <f>IF(AND(Table1[[#This Row],[Total Revenue (PKR)]]&gt;50000, Table1[[#This Row],[Discount %]]&lt;10),"High Value","Standard")</f>
        <v>Standard</v>
      </c>
      <c r="T431" s="3" t="s">
        <v>66</v>
      </c>
      <c r="U431" s="7" t="s">
        <v>24</v>
      </c>
      <c r="V431" s="20" t="s">
        <v>749</v>
      </c>
    </row>
    <row r="432" spans="1:22" x14ac:dyDescent="0.25">
      <c r="A432" s="4" t="s">
        <v>750</v>
      </c>
      <c r="B432" s="15">
        <f>DATEVALUE(Table1[[#This Row],[Date2]])</f>
        <v>45550</v>
      </c>
      <c r="C432" s="2" t="str">
        <f>TEXT(Table1[[#This Row],[Date]],"MMM")</f>
        <v>Sep</v>
      </c>
      <c r="D432" s="2" t="str">
        <f>"Q"&amp;ROUNDUP(MONTH(Table1[[#This Row],[Date]])/3,0)</f>
        <v>Q3</v>
      </c>
      <c r="E432" s="2">
        <f>YEAR(Table1[[#This Row],[Date]])</f>
        <v>2024</v>
      </c>
      <c r="F432" s="2" t="s">
        <v>92</v>
      </c>
      <c r="G432" s="2" t="s">
        <v>74</v>
      </c>
      <c r="H432" s="2" t="s">
        <v>28</v>
      </c>
      <c r="I432" s="2" t="s">
        <v>127</v>
      </c>
      <c r="J432" s="2">
        <v>2</v>
      </c>
      <c r="K432" s="2">
        <v>15000</v>
      </c>
      <c r="L432" s="2">
        <v>20</v>
      </c>
      <c r="M432" s="2">
        <v>24000</v>
      </c>
      <c r="N432" s="23">
        <f>(Table1[[#This Row],[Profit (PKR)]]/Table1[[#This Row],[Total Revenue (PKR)]])</f>
        <v>0.16666666666666666</v>
      </c>
      <c r="O432" s="2">
        <v>10000</v>
      </c>
      <c r="P432" s="2">
        <v>20000</v>
      </c>
      <c r="Q432" s="2">
        <v>4000</v>
      </c>
      <c r="R432" s="2" t="s">
        <v>42</v>
      </c>
      <c r="S432" s="2" t="str">
        <f>IF(AND(Table1[[#This Row],[Total Revenue (PKR)]]&gt;50000, Table1[[#This Row],[Discount %]]&lt;10),"High Value","Standard")</f>
        <v>Standard</v>
      </c>
      <c r="T432" s="2" t="s">
        <v>30</v>
      </c>
      <c r="U432" s="6" t="s">
        <v>44</v>
      </c>
      <c r="V432" s="19" t="s">
        <v>751</v>
      </c>
    </row>
    <row r="433" spans="1:22" x14ac:dyDescent="0.25">
      <c r="A433" s="5" t="s">
        <v>752</v>
      </c>
      <c r="B433" s="16">
        <f>DATEVALUE(Table1[[#This Row],[Date2]])</f>
        <v>45552</v>
      </c>
      <c r="C433" s="3" t="str">
        <f>TEXT(Table1[[#This Row],[Date]],"MMM")</f>
        <v>Sep</v>
      </c>
      <c r="D433" s="3" t="str">
        <f>"Q"&amp;ROUNDUP(MONTH(Table1[[#This Row],[Date]])/3,0)</f>
        <v>Q3</v>
      </c>
      <c r="E433" s="3">
        <f>YEAR(Table1[[#This Row],[Date]])</f>
        <v>2024</v>
      </c>
      <c r="F433" s="3" t="s">
        <v>92</v>
      </c>
      <c r="G433" s="3" t="s">
        <v>40</v>
      </c>
      <c r="H433" s="3" t="s">
        <v>34</v>
      </c>
      <c r="I433" s="3" t="s">
        <v>196</v>
      </c>
      <c r="J433" s="3">
        <v>13</v>
      </c>
      <c r="K433" s="3">
        <v>2500</v>
      </c>
      <c r="L433" s="3">
        <v>25</v>
      </c>
      <c r="M433" s="3">
        <v>24375</v>
      </c>
      <c r="N433" s="24">
        <f>(Table1[[#This Row],[Profit (PKR)]]/Table1[[#This Row],[Total Revenue (PKR)]])</f>
        <v>0.36</v>
      </c>
      <c r="O433" s="3">
        <v>1200</v>
      </c>
      <c r="P433" s="3">
        <v>15600</v>
      </c>
      <c r="Q433" s="3">
        <v>8775</v>
      </c>
      <c r="R433" s="3" t="s">
        <v>42</v>
      </c>
      <c r="S433" s="3" t="str">
        <f>IF(AND(Table1[[#This Row],[Total Revenue (PKR)]]&gt;50000, Table1[[#This Row],[Discount %]]&lt;10),"High Value","Standard")</f>
        <v>Standard</v>
      </c>
      <c r="T433" s="3" t="s">
        <v>30</v>
      </c>
      <c r="U433" s="7" t="s">
        <v>86</v>
      </c>
      <c r="V433" s="20" t="s">
        <v>258</v>
      </c>
    </row>
    <row r="434" spans="1:22" x14ac:dyDescent="0.25">
      <c r="A434" s="4" t="s">
        <v>753</v>
      </c>
      <c r="B434" s="15">
        <f>DATEVALUE(Table1[[#This Row],[Date2]])</f>
        <v>45506</v>
      </c>
      <c r="C434" s="2" t="str">
        <f>TEXT(Table1[[#This Row],[Date]],"MMM")</f>
        <v>Aug</v>
      </c>
      <c r="D434" s="2" t="str">
        <f>"Q"&amp;ROUNDUP(MONTH(Table1[[#This Row],[Date]])/3,0)</f>
        <v>Q3</v>
      </c>
      <c r="E434" s="2">
        <f>YEAR(Table1[[#This Row],[Date]])</f>
        <v>2024</v>
      </c>
      <c r="F434" s="2" t="s">
        <v>47</v>
      </c>
      <c r="G434" s="2" t="s">
        <v>64</v>
      </c>
      <c r="H434" s="2" t="s">
        <v>20</v>
      </c>
      <c r="I434" s="2" t="s">
        <v>59</v>
      </c>
      <c r="J434" s="2">
        <v>11</v>
      </c>
      <c r="K434" s="2">
        <v>12000</v>
      </c>
      <c r="L434" s="2">
        <v>10</v>
      </c>
      <c r="M434" s="2">
        <v>118800</v>
      </c>
      <c r="N434" s="23">
        <f>(Table1[[#This Row],[Profit (PKR)]]/Table1[[#This Row],[Total Revenue (PKR)]])</f>
        <v>0.25925925925925924</v>
      </c>
      <c r="O434" s="2">
        <v>8000</v>
      </c>
      <c r="P434" s="2">
        <v>88000</v>
      </c>
      <c r="Q434" s="2">
        <v>30800</v>
      </c>
      <c r="R434" s="2" t="s">
        <v>42</v>
      </c>
      <c r="S434" s="2" t="str">
        <f>IF(AND(Table1[[#This Row],[Total Revenue (PKR)]]&gt;50000, Table1[[#This Row],[Discount %]]&lt;10),"High Value","Standard")</f>
        <v>Standard</v>
      </c>
      <c r="T434" s="2" t="s">
        <v>36</v>
      </c>
      <c r="U434" s="6" t="s">
        <v>44</v>
      </c>
      <c r="V434" s="19" t="s">
        <v>187</v>
      </c>
    </row>
    <row r="435" spans="1:22" x14ac:dyDescent="0.25">
      <c r="A435" s="5" t="s">
        <v>754</v>
      </c>
      <c r="B435" s="16">
        <f>DATEVALUE(Table1[[#This Row],[Date2]])</f>
        <v>45600</v>
      </c>
      <c r="C435" s="3" t="str">
        <f>TEXT(Table1[[#This Row],[Date]],"MMM")</f>
        <v>Nov</v>
      </c>
      <c r="D435" s="3" t="str">
        <f>"Q"&amp;ROUNDUP(MONTH(Table1[[#This Row],[Date]])/3,0)</f>
        <v>Q4</v>
      </c>
      <c r="E435" s="3">
        <f>YEAR(Table1[[#This Row],[Date]])</f>
        <v>2024</v>
      </c>
      <c r="F435" s="3" t="s">
        <v>63</v>
      </c>
      <c r="G435" s="3" t="s">
        <v>48</v>
      </c>
      <c r="H435" s="3" t="s">
        <v>53</v>
      </c>
      <c r="I435" s="3" t="s">
        <v>85</v>
      </c>
      <c r="J435" s="3">
        <v>18</v>
      </c>
      <c r="K435" s="3">
        <v>1500</v>
      </c>
      <c r="L435" s="3">
        <v>25</v>
      </c>
      <c r="M435" s="3">
        <v>20250</v>
      </c>
      <c r="N435" s="24">
        <f>(Table1[[#This Row],[Profit (PKR)]]/Table1[[#This Row],[Total Revenue (PKR)]])</f>
        <v>0.28888888888888886</v>
      </c>
      <c r="O435" s="3">
        <v>800</v>
      </c>
      <c r="P435" s="3">
        <v>14400</v>
      </c>
      <c r="Q435" s="3">
        <v>5850</v>
      </c>
      <c r="R435" s="3" t="s">
        <v>22</v>
      </c>
      <c r="S435" s="3" t="str">
        <f>IF(AND(Table1[[#This Row],[Total Revenue (PKR)]]&gt;50000, Table1[[#This Row],[Discount %]]&lt;10),"High Value","Standard")</f>
        <v>Standard</v>
      </c>
      <c r="T435" s="3" t="s">
        <v>36</v>
      </c>
      <c r="U435" s="7" t="s">
        <v>44</v>
      </c>
      <c r="V435" s="20" t="s">
        <v>755</v>
      </c>
    </row>
    <row r="436" spans="1:22" x14ac:dyDescent="0.25">
      <c r="A436" s="4" t="s">
        <v>756</v>
      </c>
      <c r="B436" s="15">
        <f>DATEVALUE(Table1[[#This Row],[Date2]])</f>
        <v>45440</v>
      </c>
      <c r="C436" s="2" t="str">
        <f>TEXT(Table1[[#This Row],[Date]],"MMM")</f>
        <v>May</v>
      </c>
      <c r="D436" s="2" t="str">
        <f>"Q"&amp;ROUNDUP(MONTH(Table1[[#This Row],[Date]])/3,0)</f>
        <v>Q2</v>
      </c>
      <c r="E436" s="2">
        <f>YEAR(Table1[[#This Row],[Date]])</f>
        <v>2024</v>
      </c>
      <c r="F436" s="2" t="s">
        <v>100</v>
      </c>
      <c r="G436" s="2" t="s">
        <v>40</v>
      </c>
      <c r="H436" s="2" t="s">
        <v>34</v>
      </c>
      <c r="I436" s="2" t="s">
        <v>89</v>
      </c>
      <c r="J436" s="2">
        <v>18</v>
      </c>
      <c r="K436" s="2">
        <v>4500</v>
      </c>
      <c r="L436" s="2">
        <v>25</v>
      </c>
      <c r="M436" s="2">
        <v>60750</v>
      </c>
      <c r="N436" s="23">
        <f>(Table1[[#This Row],[Profit (PKR)]]/Table1[[#This Row],[Total Revenue (PKR)]])</f>
        <v>0.25925925925925924</v>
      </c>
      <c r="O436" s="2">
        <v>2500</v>
      </c>
      <c r="P436" s="2">
        <v>45000</v>
      </c>
      <c r="Q436" s="2">
        <v>15750</v>
      </c>
      <c r="R436" s="2" t="s">
        <v>42</v>
      </c>
      <c r="S436" s="2" t="str">
        <f>IF(AND(Table1[[#This Row],[Total Revenue (PKR)]]&gt;50000, Table1[[#This Row],[Discount %]]&lt;10),"High Value","Standard")</f>
        <v>Standard</v>
      </c>
      <c r="T436" s="2" t="s">
        <v>23</v>
      </c>
      <c r="U436" s="6" t="s">
        <v>44</v>
      </c>
      <c r="V436" s="19" t="s">
        <v>485</v>
      </c>
    </row>
    <row r="437" spans="1:22" x14ac:dyDescent="0.25">
      <c r="A437" s="5" t="s">
        <v>757</v>
      </c>
      <c r="B437" s="16">
        <f>DATEVALUE(Table1[[#This Row],[Date2]])</f>
        <v>45472</v>
      </c>
      <c r="C437" s="3" t="str">
        <f>TEXT(Table1[[#This Row],[Date]],"MMM")</f>
        <v>Jun</v>
      </c>
      <c r="D437" s="3" t="str">
        <f>"Q"&amp;ROUNDUP(MONTH(Table1[[#This Row],[Date]])/3,0)</f>
        <v>Q2</v>
      </c>
      <c r="E437" s="3">
        <f>YEAR(Table1[[#This Row],[Date]])</f>
        <v>2024</v>
      </c>
      <c r="F437" s="3" t="s">
        <v>63</v>
      </c>
      <c r="G437" s="3" t="s">
        <v>74</v>
      </c>
      <c r="H437" s="3" t="s">
        <v>53</v>
      </c>
      <c r="I437" s="3" t="s">
        <v>101</v>
      </c>
      <c r="J437" s="3">
        <v>14</v>
      </c>
      <c r="K437" s="3">
        <v>1200</v>
      </c>
      <c r="L437" s="3">
        <v>25</v>
      </c>
      <c r="M437" s="3">
        <v>12600</v>
      </c>
      <c r="N437" s="24">
        <f>(Table1[[#This Row],[Profit (PKR)]]/Table1[[#This Row],[Total Revenue (PKR)]])</f>
        <v>0.22222222222222221</v>
      </c>
      <c r="O437" s="3">
        <v>700</v>
      </c>
      <c r="P437" s="3">
        <v>9800</v>
      </c>
      <c r="Q437" s="3">
        <v>2800</v>
      </c>
      <c r="R437" s="3" t="s">
        <v>42</v>
      </c>
      <c r="S437" s="3" t="str">
        <f>IF(AND(Table1[[#This Row],[Total Revenue (PKR)]]&gt;50000, Table1[[#This Row],[Discount %]]&lt;10),"High Value","Standard")</f>
        <v>Standard</v>
      </c>
      <c r="T437" s="3" t="s">
        <v>66</v>
      </c>
      <c r="U437" s="7" t="s">
        <v>86</v>
      </c>
      <c r="V437" s="20" t="s">
        <v>219</v>
      </c>
    </row>
    <row r="438" spans="1:22" x14ac:dyDescent="0.25">
      <c r="A438" s="4" t="s">
        <v>758</v>
      </c>
      <c r="B438" s="15">
        <f>DATEVALUE(Table1[[#This Row],[Date2]])</f>
        <v>45559</v>
      </c>
      <c r="C438" s="2" t="str">
        <f>TEXT(Table1[[#This Row],[Date]],"MMM")</f>
        <v>Sep</v>
      </c>
      <c r="D438" s="2" t="str">
        <f>"Q"&amp;ROUNDUP(MONTH(Table1[[#This Row],[Date]])/3,0)</f>
        <v>Q3</v>
      </c>
      <c r="E438" s="2">
        <f>YEAR(Table1[[#This Row],[Date]])</f>
        <v>2024</v>
      </c>
      <c r="F438" s="2" t="s">
        <v>18</v>
      </c>
      <c r="G438" s="2" t="s">
        <v>19</v>
      </c>
      <c r="H438" s="2" t="s">
        <v>93</v>
      </c>
      <c r="I438" s="2" t="s">
        <v>188</v>
      </c>
      <c r="J438" s="2">
        <v>2</v>
      </c>
      <c r="K438" s="2">
        <v>1500</v>
      </c>
      <c r="L438" s="2">
        <v>25</v>
      </c>
      <c r="M438" s="2">
        <v>2250</v>
      </c>
      <c r="N438" s="23">
        <f>(Table1[[#This Row],[Profit (PKR)]]/Table1[[#This Row],[Total Revenue (PKR)]])</f>
        <v>2.2222222222222223E-2</v>
      </c>
      <c r="O438" s="2">
        <v>1100</v>
      </c>
      <c r="P438" s="2">
        <v>2200</v>
      </c>
      <c r="Q438" s="2">
        <v>50</v>
      </c>
      <c r="R438" s="2" t="s">
        <v>22</v>
      </c>
      <c r="S438" s="2" t="str">
        <f>IF(AND(Table1[[#This Row],[Total Revenue (PKR)]]&gt;50000, Table1[[#This Row],[Discount %]]&lt;10),"High Value","Standard")</f>
        <v>Standard</v>
      </c>
      <c r="T438" s="2" t="s">
        <v>36</v>
      </c>
      <c r="U438" s="6" t="s">
        <v>44</v>
      </c>
      <c r="V438" s="19" t="s">
        <v>759</v>
      </c>
    </row>
    <row r="439" spans="1:22" x14ac:dyDescent="0.25">
      <c r="A439" s="5" t="s">
        <v>760</v>
      </c>
      <c r="B439" s="16">
        <f>DATEVALUE(Table1[[#This Row],[Date2]])</f>
        <v>45374</v>
      </c>
      <c r="C439" s="3" t="str">
        <f>TEXT(Table1[[#This Row],[Date]],"MMM")</f>
        <v>Mar</v>
      </c>
      <c r="D439" s="3" t="str">
        <f>"Q"&amp;ROUNDUP(MONTH(Table1[[#This Row],[Date]])/3,0)</f>
        <v>Q1</v>
      </c>
      <c r="E439" s="3">
        <f>YEAR(Table1[[#This Row],[Date]])</f>
        <v>2024</v>
      </c>
      <c r="F439" s="3" t="s">
        <v>39</v>
      </c>
      <c r="G439" s="3" t="s">
        <v>48</v>
      </c>
      <c r="H439" s="3" t="s">
        <v>34</v>
      </c>
      <c r="I439" s="3" t="s">
        <v>196</v>
      </c>
      <c r="J439" s="3">
        <v>10</v>
      </c>
      <c r="K439" s="3">
        <v>2500</v>
      </c>
      <c r="L439" s="3">
        <v>5</v>
      </c>
      <c r="M439" s="3">
        <v>23750</v>
      </c>
      <c r="N439" s="24">
        <f>(Table1[[#This Row],[Profit (PKR)]]/Table1[[#This Row],[Total Revenue (PKR)]])</f>
        <v>0.49473684210526314</v>
      </c>
      <c r="O439" s="3">
        <v>1200</v>
      </c>
      <c r="P439" s="3">
        <v>12000</v>
      </c>
      <c r="Q439" s="3">
        <v>11750</v>
      </c>
      <c r="R439" s="3" t="s">
        <v>22</v>
      </c>
      <c r="S439" s="3" t="str">
        <f>IF(AND(Table1[[#This Row],[Total Revenue (PKR)]]&gt;50000, Table1[[#This Row],[Discount %]]&lt;10),"High Value","Standard")</f>
        <v>Standard</v>
      </c>
      <c r="T439" s="3" t="s">
        <v>55</v>
      </c>
      <c r="U439" s="7" t="s">
        <v>86</v>
      </c>
      <c r="V439" s="20" t="s">
        <v>84</v>
      </c>
    </row>
    <row r="440" spans="1:22" x14ac:dyDescent="0.25">
      <c r="A440" s="4" t="s">
        <v>761</v>
      </c>
      <c r="B440" s="15">
        <f>DATEVALUE(Table1[[#This Row],[Date2]])</f>
        <v>45344</v>
      </c>
      <c r="C440" s="2" t="str">
        <f>TEXT(Table1[[#This Row],[Date]],"MMM")</f>
        <v>Feb</v>
      </c>
      <c r="D440" s="2" t="str">
        <f>"Q"&amp;ROUNDUP(MONTH(Table1[[#This Row],[Date]])/3,0)</f>
        <v>Q1</v>
      </c>
      <c r="E440" s="2">
        <f>YEAR(Table1[[#This Row],[Date]])</f>
        <v>2024</v>
      </c>
      <c r="F440" s="2" t="s">
        <v>47</v>
      </c>
      <c r="G440" s="2" t="s">
        <v>64</v>
      </c>
      <c r="H440" s="2" t="s">
        <v>53</v>
      </c>
      <c r="I440" s="2" t="s">
        <v>71</v>
      </c>
      <c r="J440" s="2">
        <v>8</v>
      </c>
      <c r="K440" s="2">
        <v>8000</v>
      </c>
      <c r="L440" s="2">
        <v>20</v>
      </c>
      <c r="M440" s="2">
        <v>51200</v>
      </c>
      <c r="N440" s="23">
        <f>(Table1[[#This Row],[Profit (PKR)]]/Table1[[#This Row],[Total Revenue (PKR)]])</f>
        <v>0.21875</v>
      </c>
      <c r="O440" s="2">
        <v>5000</v>
      </c>
      <c r="P440" s="2">
        <v>40000</v>
      </c>
      <c r="Q440" s="2">
        <v>11200</v>
      </c>
      <c r="R440" s="2" t="s">
        <v>42</v>
      </c>
      <c r="S440" s="2" t="str">
        <f>IF(AND(Table1[[#This Row],[Total Revenue (PKR)]]&gt;50000, Table1[[#This Row],[Discount %]]&lt;10),"High Value","Standard")</f>
        <v>Standard</v>
      </c>
      <c r="T440" s="2" t="s">
        <v>23</v>
      </c>
      <c r="U440" s="6" t="s">
        <v>24</v>
      </c>
      <c r="V440" s="19" t="s">
        <v>391</v>
      </c>
    </row>
    <row r="441" spans="1:22" x14ac:dyDescent="0.25">
      <c r="A441" s="5" t="s">
        <v>762</v>
      </c>
      <c r="B441" s="16">
        <f>DATEVALUE(Table1[[#This Row],[Date2]])</f>
        <v>45487</v>
      </c>
      <c r="C441" s="3" t="str">
        <f>TEXT(Table1[[#This Row],[Date]],"MMM")</f>
        <v>Jul</v>
      </c>
      <c r="D441" s="3" t="str">
        <f>"Q"&amp;ROUNDUP(MONTH(Table1[[#This Row],[Date]])/3,0)</f>
        <v>Q3</v>
      </c>
      <c r="E441" s="3">
        <f>YEAR(Table1[[#This Row],[Date]])</f>
        <v>2024</v>
      </c>
      <c r="F441" s="3" t="s">
        <v>77</v>
      </c>
      <c r="G441" s="3" t="s">
        <v>27</v>
      </c>
      <c r="H441" s="3" t="s">
        <v>20</v>
      </c>
      <c r="I441" s="3" t="s">
        <v>137</v>
      </c>
      <c r="J441" s="3">
        <v>2</v>
      </c>
      <c r="K441" s="3">
        <v>15000</v>
      </c>
      <c r="L441" s="3">
        <v>0</v>
      </c>
      <c r="M441" s="3">
        <v>30000</v>
      </c>
      <c r="N441" s="24">
        <f>(Table1[[#This Row],[Profit (PKR)]]/Table1[[#This Row],[Total Revenue (PKR)]])</f>
        <v>0.33333333333333331</v>
      </c>
      <c r="O441" s="3">
        <v>10000</v>
      </c>
      <c r="P441" s="3">
        <v>20000</v>
      </c>
      <c r="Q441" s="3">
        <v>10000</v>
      </c>
      <c r="R441" s="3" t="s">
        <v>42</v>
      </c>
      <c r="S441" s="3" t="str">
        <f>IF(AND(Table1[[#This Row],[Total Revenue (PKR)]]&gt;50000, Table1[[#This Row],[Discount %]]&lt;10),"High Value","Standard")</f>
        <v>Standard</v>
      </c>
      <c r="T441" s="3" t="s">
        <v>36</v>
      </c>
      <c r="U441" s="7" t="s">
        <v>24</v>
      </c>
      <c r="V441" s="20" t="s">
        <v>368</v>
      </c>
    </row>
    <row r="442" spans="1:22" x14ac:dyDescent="0.25">
      <c r="A442" s="4" t="s">
        <v>763</v>
      </c>
      <c r="B442" s="15">
        <f>DATEVALUE(Table1[[#This Row],[Date2]])</f>
        <v>45518</v>
      </c>
      <c r="C442" s="2" t="str">
        <f>TEXT(Table1[[#This Row],[Date]],"MMM")</f>
        <v>Aug</v>
      </c>
      <c r="D442" s="2" t="str">
        <f>"Q"&amp;ROUNDUP(MONTH(Table1[[#This Row],[Date]])/3,0)</f>
        <v>Q3</v>
      </c>
      <c r="E442" s="2">
        <f>YEAR(Table1[[#This Row],[Date]])</f>
        <v>2024</v>
      </c>
      <c r="F442" s="2" t="s">
        <v>33</v>
      </c>
      <c r="G442" s="2" t="s">
        <v>52</v>
      </c>
      <c r="H442" s="2" t="s">
        <v>53</v>
      </c>
      <c r="I442" s="2" t="s">
        <v>101</v>
      </c>
      <c r="J442" s="2">
        <v>20</v>
      </c>
      <c r="K442" s="2">
        <v>1200</v>
      </c>
      <c r="L442" s="2">
        <v>5</v>
      </c>
      <c r="M442" s="2">
        <v>22800</v>
      </c>
      <c r="N442" s="23">
        <f>(Table1[[#This Row],[Profit (PKR)]]/Table1[[#This Row],[Total Revenue (PKR)]])</f>
        <v>0.38596491228070173</v>
      </c>
      <c r="O442" s="2">
        <v>700</v>
      </c>
      <c r="P442" s="2">
        <v>14000</v>
      </c>
      <c r="Q442" s="2">
        <v>8800</v>
      </c>
      <c r="R442" s="2" t="s">
        <v>22</v>
      </c>
      <c r="S442" s="2" t="str">
        <f>IF(AND(Table1[[#This Row],[Total Revenue (PKR)]]&gt;50000, Table1[[#This Row],[Discount %]]&lt;10),"High Value","Standard")</f>
        <v>Standard</v>
      </c>
      <c r="T442" s="2" t="s">
        <v>55</v>
      </c>
      <c r="U442" s="6" t="s">
        <v>44</v>
      </c>
      <c r="V442" s="19" t="s">
        <v>680</v>
      </c>
    </row>
    <row r="443" spans="1:22" x14ac:dyDescent="0.25">
      <c r="A443" s="5" t="s">
        <v>764</v>
      </c>
      <c r="B443" s="16">
        <f>DATEVALUE(Table1[[#This Row],[Date2]])</f>
        <v>45641</v>
      </c>
      <c r="C443" s="3" t="str">
        <f>TEXT(Table1[[#This Row],[Date]],"MMM")</f>
        <v>Dec</v>
      </c>
      <c r="D443" s="3" t="str">
        <f>"Q"&amp;ROUNDUP(MONTH(Table1[[#This Row],[Date]])/3,0)</f>
        <v>Q4</v>
      </c>
      <c r="E443" s="3">
        <f>YEAR(Table1[[#This Row],[Date]])</f>
        <v>2024</v>
      </c>
      <c r="F443" s="3" t="s">
        <v>18</v>
      </c>
      <c r="G443" s="3" t="s">
        <v>40</v>
      </c>
      <c r="H443" s="3" t="s">
        <v>34</v>
      </c>
      <c r="I443" s="3" t="s">
        <v>89</v>
      </c>
      <c r="J443" s="3">
        <v>4</v>
      </c>
      <c r="K443" s="3">
        <v>4500</v>
      </c>
      <c r="L443" s="3">
        <v>15</v>
      </c>
      <c r="M443" s="3">
        <v>15300</v>
      </c>
      <c r="N443" s="24">
        <f>(Table1[[#This Row],[Profit (PKR)]]/Table1[[#This Row],[Total Revenue (PKR)]])</f>
        <v>0.34640522875816993</v>
      </c>
      <c r="O443" s="3">
        <v>2500</v>
      </c>
      <c r="P443" s="3">
        <v>10000</v>
      </c>
      <c r="Q443" s="3">
        <v>5300</v>
      </c>
      <c r="R443" s="3" t="s">
        <v>22</v>
      </c>
      <c r="S443" s="3" t="str">
        <f>IF(AND(Table1[[#This Row],[Total Revenue (PKR)]]&gt;50000, Table1[[#This Row],[Discount %]]&lt;10),"High Value","Standard")</f>
        <v>Standard</v>
      </c>
      <c r="T443" s="3" t="s">
        <v>66</v>
      </c>
      <c r="U443" s="7" t="s">
        <v>44</v>
      </c>
      <c r="V443" s="20" t="s">
        <v>79</v>
      </c>
    </row>
    <row r="444" spans="1:22" x14ac:dyDescent="0.25">
      <c r="A444" s="4" t="s">
        <v>765</v>
      </c>
      <c r="B444" s="15">
        <f>DATEVALUE(Table1[[#This Row],[Date2]])</f>
        <v>45427</v>
      </c>
      <c r="C444" s="2" t="str">
        <f>TEXT(Table1[[#This Row],[Date]],"MMM")</f>
        <v>May</v>
      </c>
      <c r="D444" s="2" t="str">
        <f>"Q"&amp;ROUNDUP(MONTH(Table1[[#This Row],[Date]])/3,0)</f>
        <v>Q2</v>
      </c>
      <c r="E444" s="2">
        <f>YEAR(Table1[[#This Row],[Date]])</f>
        <v>2024</v>
      </c>
      <c r="F444" s="2" t="s">
        <v>92</v>
      </c>
      <c r="G444" s="2" t="s">
        <v>40</v>
      </c>
      <c r="H444" s="2" t="s">
        <v>53</v>
      </c>
      <c r="I444" s="2" t="s">
        <v>85</v>
      </c>
      <c r="J444" s="2">
        <v>1</v>
      </c>
      <c r="K444" s="2">
        <v>1500</v>
      </c>
      <c r="L444" s="2">
        <v>10</v>
      </c>
      <c r="M444" s="2">
        <v>1350</v>
      </c>
      <c r="N444" s="23">
        <f>(Table1[[#This Row],[Profit (PKR)]]/Table1[[#This Row],[Total Revenue (PKR)]])</f>
        <v>0.40740740740740738</v>
      </c>
      <c r="O444" s="2">
        <v>800</v>
      </c>
      <c r="P444" s="2">
        <v>800</v>
      </c>
      <c r="Q444" s="2">
        <v>550</v>
      </c>
      <c r="R444" s="2" t="s">
        <v>42</v>
      </c>
      <c r="S444" s="2" t="str">
        <f>IF(AND(Table1[[#This Row],[Total Revenue (PKR)]]&gt;50000, Table1[[#This Row],[Discount %]]&lt;10),"High Value","Standard")</f>
        <v>Standard</v>
      </c>
      <c r="T444" s="2" t="s">
        <v>23</v>
      </c>
      <c r="U444" s="6" t="s">
        <v>95</v>
      </c>
      <c r="V444" s="19" t="s">
        <v>139</v>
      </c>
    </row>
    <row r="445" spans="1:22" x14ac:dyDescent="0.25">
      <c r="A445" s="5" t="s">
        <v>766</v>
      </c>
      <c r="B445" s="16">
        <f>DATEVALUE(Table1[[#This Row],[Date2]])</f>
        <v>45312</v>
      </c>
      <c r="C445" s="3" t="str">
        <f>TEXT(Table1[[#This Row],[Date]],"MMM")</f>
        <v>Jan</v>
      </c>
      <c r="D445" s="3" t="str">
        <f>"Q"&amp;ROUNDUP(MONTH(Table1[[#This Row],[Date]])/3,0)</f>
        <v>Q1</v>
      </c>
      <c r="E445" s="3">
        <f>YEAR(Table1[[#This Row],[Date]])</f>
        <v>2024</v>
      </c>
      <c r="F445" s="3" t="s">
        <v>92</v>
      </c>
      <c r="G445" s="3" t="s">
        <v>52</v>
      </c>
      <c r="H445" s="3" t="s">
        <v>53</v>
      </c>
      <c r="I445" s="3" t="s">
        <v>82</v>
      </c>
      <c r="J445" s="3">
        <v>20</v>
      </c>
      <c r="K445" s="3">
        <v>4000</v>
      </c>
      <c r="L445" s="3">
        <v>25</v>
      </c>
      <c r="M445" s="3">
        <v>60000</v>
      </c>
      <c r="N445" s="24">
        <f>(Table1[[#This Row],[Profit (PKR)]]/Table1[[#This Row],[Total Revenue (PKR)]])</f>
        <v>0.16666666666666666</v>
      </c>
      <c r="O445" s="3">
        <v>2500</v>
      </c>
      <c r="P445" s="3">
        <v>50000</v>
      </c>
      <c r="Q445" s="3">
        <v>10000</v>
      </c>
      <c r="R445" s="3" t="s">
        <v>42</v>
      </c>
      <c r="S445" s="3" t="str">
        <f>IF(AND(Table1[[#This Row],[Total Revenue (PKR)]]&gt;50000, Table1[[#This Row],[Discount %]]&lt;10),"High Value","Standard")</f>
        <v>Standard</v>
      </c>
      <c r="T445" s="3" t="s">
        <v>66</v>
      </c>
      <c r="U445" s="7" t="s">
        <v>86</v>
      </c>
      <c r="V445" s="20" t="s">
        <v>767</v>
      </c>
    </row>
    <row r="446" spans="1:22" x14ac:dyDescent="0.25">
      <c r="A446" s="4" t="s">
        <v>768</v>
      </c>
      <c r="B446" s="15">
        <f>DATEVALUE(Table1[[#This Row],[Date2]])</f>
        <v>45573</v>
      </c>
      <c r="C446" s="2" t="str">
        <f>TEXT(Table1[[#This Row],[Date]],"MMM")</f>
        <v>Oct</v>
      </c>
      <c r="D446" s="2" t="str">
        <f>"Q"&amp;ROUNDUP(MONTH(Table1[[#This Row],[Date]])/3,0)</f>
        <v>Q4</v>
      </c>
      <c r="E446" s="2">
        <f>YEAR(Table1[[#This Row],[Date]])</f>
        <v>2024</v>
      </c>
      <c r="F446" s="2" t="s">
        <v>100</v>
      </c>
      <c r="G446" s="2" t="s">
        <v>159</v>
      </c>
      <c r="H446" s="2" t="s">
        <v>20</v>
      </c>
      <c r="I446" s="2" t="s">
        <v>137</v>
      </c>
      <c r="J446" s="2">
        <v>8</v>
      </c>
      <c r="K446" s="2">
        <v>15000</v>
      </c>
      <c r="L446" s="2">
        <v>5</v>
      </c>
      <c r="M446" s="2">
        <v>114000</v>
      </c>
      <c r="N446" s="23">
        <f>(Table1[[#This Row],[Profit (PKR)]]/Table1[[#This Row],[Total Revenue (PKR)]])</f>
        <v>0.2982456140350877</v>
      </c>
      <c r="O446" s="2">
        <v>10000</v>
      </c>
      <c r="P446" s="2">
        <v>80000</v>
      </c>
      <c r="Q446" s="2">
        <v>34000</v>
      </c>
      <c r="R446" s="2" t="s">
        <v>22</v>
      </c>
      <c r="S446" s="2" t="str">
        <f>IF(AND(Table1[[#This Row],[Total Revenue (PKR)]]&gt;50000, Table1[[#This Row],[Discount %]]&lt;10),"High Value","Standard")</f>
        <v>High Value</v>
      </c>
      <c r="T446" s="2" t="s">
        <v>30</v>
      </c>
      <c r="U446" s="6" t="s">
        <v>44</v>
      </c>
      <c r="V446" s="19" t="s">
        <v>769</v>
      </c>
    </row>
    <row r="447" spans="1:22" x14ac:dyDescent="0.25">
      <c r="A447" s="5" t="s">
        <v>770</v>
      </c>
      <c r="B447" s="16">
        <f>DATEVALUE(Table1[[#This Row],[Date2]])</f>
        <v>45570</v>
      </c>
      <c r="C447" s="3" t="str">
        <f>TEXT(Table1[[#This Row],[Date]],"MMM")</f>
        <v>Oct</v>
      </c>
      <c r="D447" s="3" t="str">
        <f>"Q"&amp;ROUNDUP(MONTH(Table1[[#This Row],[Date]])/3,0)</f>
        <v>Q4</v>
      </c>
      <c r="E447" s="3">
        <f>YEAR(Table1[[#This Row],[Date]])</f>
        <v>2024</v>
      </c>
      <c r="F447" s="3" t="s">
        <v>63</v>
      </c>
      <c r="G447" s="3" t="s">
        <v>27</v>
      </c>
      <c r="H447" s="3" t="s">
        <v>28</v>
      </c>
      <c r="I447" s="3" t="s">
        <v>274</v>
      </c>
      <c r="J447" s="3">
        <v>8</v>
      </c>
      <c r="K447" s="3">
        <v>35000</v>
      </c>
      <c r="L447" s="3">
        <v>5</v>
      </c>
      <c r="M447" s="3">
        <v>266000</v>
      </c>
      <c r="N447" s="24">
        <f>(Table1[[#This Row],[Profit (PKR)]]/Table1[[#This Row],[Total Revenue (PKR)]])</f>
        <v>0.21804511278195488</v>
      </c>
      <c r="O447" s="3">
        <v>26000</v>
      </c>
      <c r="P447" s="3">
        <v>208000</v>
      </c>
      <c r="Q447" s="3">
        <v>58000</v>
      </c>
      <c r="R447" s="3" t="s">
        <v>42</v>
      </c>
      <c r="S447" s="3" t="str">
        <f>IF(AND(Table1[[#This Row],[Total Revenue (PKR)]]&gt;50000, Table1[[#This Row],[Discount %]]&lt;10),"High Value","Standard")</f>
        <v>High Value</v>
      </c>
      <c r="T447" s="3" t="s">
        <v>55</v>
      </c>
      <c r="U447" s="7" t="s">
        <v>44</v>
      </c>
      <c r="V447" s="20" t="s">
        <v>134</v>
      </c>
    </row>
    <row r="448" spans="1:22" x14ac:dyDescent="0.25">
      <c r="A448" s="4" t="s">
        <v>771</v>
      </c>
      <c r="B448" s="15">
        <f>DATEVALUE(Table1[[#This Row],[Date2]])</f>
        <v>45403</v>
      </c>
      <c r="C448" s="2" t="str">
        <f>TEXT(Table1[[#This Row],[Date]],"MMM")</f>
        <v>Apr</v>
      </c>
      <c r="D448" s="2" t="str">
        <f>"Q"&amp;ROUNDUP(MONTH(Table1[[#This Row],[Date]])/3,0)</f>
        <v>Q2</v>
      </c>
      <c r="E448" s="2">
        <f>YEAR(Table1[[#This Row],[Date]])</f>
        <v>2024</v>
      </c>
      <c r="F448" s="2" t="s">
        <v>47</v>
      </c>
      <c r="G448" s="2" t="s">
        <v>74</v>
      </c>
      <c r="H448" s="2" t="s">
        <v>53</v>
      </c>
      <c r="I448" s="2" t="s">
        <v>82</v>
      </c>
      <c r="J448" s="2">
        <v>4</v>
      </c>
      <c r="K448" s="2">
        <v>4000</v>
      </c>
      <c r="L448" s="2">
        <v>25</v>
      </c>
      <c r="M448" s="2">
        <v>12000</v>
      </c>
      <c r="N448" s="23">
        <f>(Table1[[#This Row],[Profit (PKR)]]/Table1[[#This Row],[Total Revenue (PKR)]])</f>
        <v>0.16666666666666666</v>
      </c>
      <c r="O448" s="2">
        <v>2500</v>
      </c>
      <c r="P448" s="2">
        <v>10000</v>
      </c>
      <c r="Q448" s="2">
        <v>2000</v>
      </c>
      <c r="R448" s="2" t="s">
        <v>42</v>
      </c>
      <c r="S448" s="2" t="str">
        <f>IF(AND(Table1[[#This Row],[Total Revenue (PKR)]]&gt;50000, Table1[[#This Row],[Discount %]]&lt;10),"High Value","Standard")</f>
        <v>Standard</v>
      </c>
      <c r="T448" s="2" t="s">
        <v>66</v>
      </c>
      <c r="U448" s="6" t="s">
        <v>44</v>
      </c>
      <c r="V448" s="19" t="s">
        <v>772</v>
      </c>
    </row>
    <row r="449" spans="1:22" x14ac:dyDescent="0.25">
      <c r="A449" s="5" t="s">
        <v>773</v>
      </c>
      <c r="B449" s="16">
        <f>DATEVALUE(Table1[[#This Row],[Date2]])</f>
        <v>45620</v>
      </c>
      <c r="C449" s="3" t="str">
        <f>TEXT(Table1[[#This Row],[Date]],"MMM")</f>
        <v>Nov</v>
      </c>
      <c r="D449" s="3" t="str">
        <f>"Q"&amp;ROUNDUP(MONTH(Table1[[#This Row],[Date]])/3,0)</f>
        <v>Q4</v>
      </c>
      <c r="E449" s="3">
        <f>YEAR(Table1[[#This Row],[Date]])</f>
        <v>2024</v>
      </c>
      <c r="F449" s="3" t="s">
        <v>47</v>
      </c>
      <c r="G449" s="3" t="s">
        <v>64</v>
      </c>
      <c r="H449" s="3" t="s">
        <v>28</v>
      </c>
      <c r="I449" s="3" t="s">
        <v>274</v>
      </c>
      <c r="J449" s="3">
        <v>13</v>
      </c>
      <c r="K449" s="3">
        <v>35000</v>
      </c>
      <c r="L449" s="3">
        <v>0</v>
      </c>
      <c r="M449" s="3">
        <v>455000</v>
      </c>
      <c r="N449" s="24">
        <f>(Table1[[#This Row],[Profit (PKR)]]/Table1[[#This Row],[Total Revenue (PKR)]])</f>
        <v>0.25714285714285712</v>
      </c>
      <c r="O449" s="3">
        <v>26000</v>
      </c>
      <c r="P449" s="3">
        <v>338000</v>
      </c>
      <c r="Q449" s="3">
        <v>117000</v>
      </c>
      <c r="R449" s="3" t="s">
        <v>42</v>
      </c>
      <c r="S449" s="3" t="str">
        <f>IF(AND(Table1[[#This Row],[Total Revenue (PKR)]]&gt;50000, Table1[[#This Row],[Discount %]]&lt;10),"High Value","Standard")</f>
        <v>High Value</v>
      </c>
      <c r="T449" s="3" t="s">
        <v>55</v>
      </c>
      <c r="U449" s="7" t="s">
        <v>44</v>
      </c>
      <c r="V449" s="20" t="s">
        <v>410</v>
      </c>
    </row>
    <row r="450" spans="1:22" x14ac:dyDescent="0.25">
      <c r="A450" s="4" t="s">
        <v>774</v>
      </c>
      <c r="B450" s="15">
        <f>DATEVALUE(Table1[[#This Row],[Date2]])</f>
        <v>45436</v>
      </c>
      <c r="C450" s="2" t="str">
        <f>TEXT(Table1[[#This Row],[Date]],"MMM")</f>
        <v>May</v>
      </c>
      <c r="D450" s="2" t="str">
        <f>"Q"&amp;ROUNDUP(MONTH(Table1[[#This Row],[Date]])/3,0)</f>
        <v>Q2</v>
      </c>
      <c r="E450" s="2">
        <f>YEAR(Table1[[#This Row],[Date]])</f>
        <v>2024</v>
      </c>
      <c r="F450" s="2" t="s">
        <v>104</v>
      </c>
      <c r="G450" s="2" t="s">
        <v>52</v>
      </c>
      <c r="H450" s="2" t="s">
        <v>53</v>
      </c>
      <c r="I450" s="2" t="s">
        <v>101</v>
      </c>
      <c r="J450" s="2">
        <v>15</v>
      </c>
      <c r="K450" s="2">
        <v>1200</v>
      </c>
      <c r="L450" s="2">
        <v>15</v>
      </c>
      <c r="M450" s="2">
        <v>15300</v>
      </c>
      <c r="N450" s="23">
        <f>(Table1[[#This Row],[Profit (PKR)]]/Table1[[#This Row],[Total Revenue (PKR)]])</f>
        <v>0.31372549019607843</v>
      </c>
      <c r="O450" s="2">
        <v>700</v>
      </c>
      <c r="P450" s="2">
        <v>10500</v>
      </c>
      <c r="Q450" s="2">
        <v>4800</v>
      </c>
      <c r="R450" s="2" t="s">
        <v>22</v>
      </c>
      <c r="S450" s="2" t="str">
        <f>IF(AND(Table1[[#This Row],[Total Revenue (PKR)]]&gt;50000, Table1[[#This Row],[Discount %]]&lt;10),"High Value","Standard")</f>
        <v>Standard</v>
      </c>
      <c r="T450" s="2" t="s">
        <v>55</v>
      </c>
      <c r="U450" s="6" t="s">
        <v>86</v>
      </c>
      <c r="V450" s="19" t="s">
        <v>353</v>
      </c>
    </row>
    <row r="451" spans="1:22" x14ac:dyDescent="0.25">
      <c r="A451" s="5" t="s">
        <v>775</v>
      </c>
      <c r="B451" s="16">
        <f>DATEVALUE(Table1[[#This Row],[Date2]])</f>
        <v>45390</v>
      </c>
      <c r="C451" s="3" t="str">
        <f>TEXT(Table1[[#This Row],[Date]],"MMM")</f>
        <v>Apr</v>
      </c>
      <c r="D451" s="3" t="str">
        <f>"Q"&amp;ROUNDUP(MONTH(Table1[[#This Row],[Date]])/3,0)</f>
        <v>Q2</v>
      </c>
      <c r="E451" s="3">
        <f>YEAR(Table1[[#This Row],[Date]])</f>
        <v>2024</v>
      </c>
      <c r="F451" s="3" t="s">
        <v>100</v>
      </c>
      <c r="G451" s="3" t="s">
        <v>159</v>
      </c>
      <c r="H451" s="3" t="s">
        <v>28</v>
      </c>
      <c r="I451" s="3" t="s">
        <v>116</v>
      </c>
      <c r="J451" s="3">
        <v>18</v>
      </c>
      <c r="K451" s="3">
        <v>85000</v>
      </c>
      <c r="L451" s="3">
        <v>20</v>
      </c>
      <c r="M451" s="3">
        <v>1224000</v>
      </c>
      <c r="N451" s="24">
        <f>(Table1[[#This Row],[Profit (PKR)]]/Table1[[#This Row],[Total Revenue (PKR)]])</f>
        <v>4.4117647058823532E-2</v>
      </c>
      <c r="O451" s="3">
        <v>65000</v>
      </c>
      <c r="P451" s="3">
        <v>1170000</v>
      </c>
      <c r="Q451" s="3">
        <v>54000</v>
      </c>
      <c r="R451" s="3" t="s">
        <v>22</v>
      </c>
      <c r="S451" s="3" t="str">
        <f>IF(AND(Table1[[#This Row],[Total Revenue (PKR)]]&gt;50000, Table1[[#This Row],[Discount %]]&lt;10),"High Value","Standard")</f>
        <v>Standard</v>
      </c>
      <c r="T451" s="3" t="s">
        <v>23</v>
      </c>
      <c r="U451" s="7" t="s">
        <v>44</v>
      </c>
      <c r="V451" s="20" t="s">
        <v>458</v>
      </c>
    </row>
    <row r="452" spans="1:22" x14ac:dyDescent="0.25">
      <c r="A452" s="4" t="s">
        <v>776</v>
      </c>
      <c r="B452" s="15">
        <f>DATEVALUE(Table1[[#This Row],[Date2]])</f>
        <v>45635</v>
      </c>
      <c r="C452" s="2" t="str">
        <f>TEXT(Table1[[#This Row],[Date]],"MMM")</f>
        <v>Dec</v>
      </c>
      <c r="D452" s="2" t="str">
        <f>"Q"&amp;ROUNDUP(MONTH(Table1[[#This Row],[Date]])/3,0)</f>
        <v>Q4</v>
      </c>
      <c r="E452" s="2">
        <f>YEAR(Table1[[#This Row],[Date]])</f>
        <v>2024</v>
      </c>
      <c r="F452" s="2" t="s">
        <v>33</v>
      </c>
      <c r="G452" s="2" t="s">
        <v>27</v>
      </c>
      <c r="H452" s="2" t="s">
        <v>28</v>
      </c>
      <c r="I452" s="2" t="s">
        <v>116</v>
      </c>
      <c r="J452" s="2">
        <v>18</v>
      </c>
      <c r="K452" s="2">
        <v>85000</v>
      </c>
      <c r="L452" s="2">
        <v>25</v>
      </c>
      <c r="M452" s="2">
        <v>1147500</v>
      </c>
      <c r="N452" s="23">
        <f>(Table1[[#This Row],[Profit (PKR)]]/Table1[[#This Row],[Total Revenue (PKR)]])</f>
        <v>-1.9607843137254902E-2</v>
      </c>
      <c r="O452" s="2">
        <v>65000</v>
      </c>
      <c r="P452" s="2">
        <v>1170000</v>
      </c>
      <c r="Q452" s="2">
        <v>-22500</v>
      </c>
      <c r="R452" s="2" t="s">
        <v>42</v>
      </c>
      <c r="S452" s="2" t="str">
        <f>IF(AND(Table1[[#This Row],[Total Revenue (PKR)]]&gt;50000, Table1[[#This Row],[Discount %]]&lt;10),"High Value","Standard")</f>
        <v>Standard</v>
      </c>
      <c r="T452" s="2" t="s">
        <v>23</v>
      </c>
      <c r="U452" s="6" t="s">
        <v>86</v>
      </c>
      <c r="V452" s="19" t="s">
        <v>296</v>
      </c>
    </row>
    <row r="453" spans="1:22" x14ac:dyDescent="0.25">
      <c r="A453" s="5" t="s">
        <v>777</v>
      </c>
      <c r="B453" s="16">
        <f>DATEVALUE(Table1[[#This Row],[Date2]])</f>
        <v>45328</v>
      </c>
      <c r="C453" s="3" t="str">
        <f>TEXT(Table1[[#This Row],[Date]],"MMM")</f>
        <v>Feb</v>
      </c>
      <c r="D453" s="3" t="str">
        <f>"Q"&amp;ROUNDUP(MONTH(Table1[[#This Row],[Date]])/3,0)</f>
        <v>Q1</v>
      </c>
      <c r="E453" s="3">
        <f>YEAR(Table1[[#This Row],[Date]])</f>
        <v>2024</v>
      </c>
      <c r="F453" s="3" t="s">
        <v>92</v>
      </c>
      <c r="G453" s="3" t="s">
        <v>19</v>
      </c>
      <c r="H453" s="3" t="s">
        <v>93</v>
      </c>
      <c r="I453" s="3" t="s">
        <v>98</v>
      </c>
      <c r="J453" s="3">
        <v>2</v>
      </c>
      <c r="K453" s="3">
        <v>400</v>
      </c>
      <c r="L453" s="3">
        <v>0</v>
      </c>
      <c r="M453" s="3">
        <v>800</v>
      </c>
      <c r="N453" s="24">
        <f>(Table1[[#This Row],[Profit (PKR)]]/Table1[[#This Row],[Total Revenue (PKR)]])</f>
        <v>0.3</v>
      </c>
      <c r="O453" s="3">
        <v>280</v>
      </c>
      <c r="P453" s="3">
        <v>560</v>
      </c>
      <c r="Q453" s="3">
        <v>240</v>
      </c>
      <c r="R453" s="3" t="s">
        <v>22</v>
      </c>
      <c r="S453" s="3" t="str">
        <f>IF(AND(Table1[[#This Row],[Total Revenue (PKR)]]&gt;50000, Table1[[#This Row],[Discount %]]&lt;10),"High Value","Standard")</f>
        <v>Standard</v>
      </c>
      <c r="T453" s="3" t="s">
        <v>43</v>
      </c>
      <c r="U453" s="7" t="s">
        <v>44</v>
      </c>
      <c r="V453" s="20" t="s">
        <v>237</v>
      </c>
    </row>
    <row r="454" spans="1:22" x14ac:dyDescent="0.25">
      <c r="A454" s="4" t="s">
        <v>778</v>
      </c>
      <c r="B454" s="15">
        <f>DATEVALUE(Table1[[#This Row],[Date2]])</f>
        <v>45420</v>
      </c>
      <c r="C454" s="2" t="str">
        <f>TEXT(Table1[[#This Row],[Date]],"MMM")</f>
        <v>May</v>
      </c>
      <c r="D454" s="2" t="str">
        <f>"Q"&amp;ROUNDUP(MONTH(Table1[[#This Row],[Date]])/3,0)</f>
        <v>Q2</v>
      </c>
      <c r="E454" s="2">
        <f>YEAR(Table1[[#This Row],[Date]])</f>
        <v>2024</v>
      </c>
      <c r="F454" s="2" t="s">
        <v>63</v>
      </c>
      <c r="G454" s="2" t="s">
        <v>159</v>
      </c>
      <c r="H454" s="2" t="s">
        <v>53</v>
      </c>
      <c r="I454" s="2" t="s">
        <v>54</v>
      </c>
      <c r="J454" s="2">
        <v>9</v>
      </c>
      <c r="K454" s="2">
        <v>2000</v>
      </c>
      <c r="L454" s="2">
        <v>15</v>
      </c>
      <c r="M454" s="2">
        <v>15300</v>
      </c>
      <c r="N454" s="23">
        <f>(Table1[[#This Row],[Profit (PKR)]]/Table1[[#This Row],[Total Revenue (PKR)]])</f>
        <v>0.29411764705882354</v>
      </c>
      <c r="O454" s="2">
        <v>1200</v>
      </c>
      <c r="P454" s="2">
        <v>10800</v>
      </c>
      <c r="Q454" s="2">
        <v>4500</v>
      </c>
      <c r="R454" s="2" t="s">
        <v>42</v>
      </c>
      <c r="S454" s="2" t="str">
        <f>IF(AND(Table1[[#This Row],[Total Revenue (PKR)]]&gt;50000, Table1[[#This Row],[Discount %]]&lt;10),"High Value","Standard")</f>
        <v>Standard</v>
      </c>
      <c r="T454" s="2" t="s">
        <v>66</v>
      </c>
      <c r="U454" s="6" t="s">
        <v>24</v>
      </c>
      <c r="V454" s="19" t="s">
        <v>285</v>
      </c>
    </row>
    <row r="455" spans="1:22" x14ac:dyDescent="0.25">
      <c r="A455" s="5" t="s">
        <v>779</v>
      </c>
      <c r="B455" s="16">
        <f>DATEVALUE(Table1[[#This Row],[Date2]])</f>
        <v>45513</v>
      </c>
      <c r="C455" s="3" t="str">
        <f>TEXT(Table1[[#This Row],[Date]],"MMM")</f>
        <v>Aug</v>
      </c>
      <c r="D455" s="3" t="str">
        <f>"Q"&amp;ROUNDUP(MONTH(Table1[[#This Row],[Date]])/3,0)</f>
        <v>Q3</v>
      </c>
      <c r="E455" s="3">
        <f>YEAR(Table1[[#This Row],[Date]])</f>
        <v>2024</v>
      </c>
      <c r="F455" s="3" t="s">
        <v>100</v>
      </c>
      <c r="G455" s="3" t="s">
        <v>19</v>
      </c>
      <c r="H455" s="3" t="s">
        <v>93</v>
      </c>
      <c r="I455" s="3" t="s">
        <v>119</v>
      </c>
      <c r="J455" s="3">
        <v>18</v>
      </c>
      <c r="K455" s="3">
        <v>800</v>
      </c>
      <c r="L455" s="3">
        <v>0</v>
      </c>
      <c r="M455" s="3">
        <v>14400</v>
      </c>
      <c r="N455" s="24">
        <f>(Table1[[#This Row],[Profit (PKR)]]/Table1[[#This Row],[Total Revenue (PKR)]])</f>
        <v>0.25</v>
      </c>
      <c r="O455" s="3">
        <v>600</v>
      </c>
      <c r="P455" s="3">
        <v>10800</v>
      </c>
      <c r="Q455" s="3">
        <v>3600</v>
      </c>
      <c r="R455" s="3" t="s">
        <v>22</v>
      </c>
      <c r="S455" s="3" t="str">
        <f>IF(AND(Table1[[#This Row],[Total Revenue (PKR)]]&gt;50000, Table1[[#This Row],[Discount %]]&lt;10),"High Value","Standard")</f>
        <v>Standard</v>
      </c>
      <c r="T455" s="3" t="s">
        <v>23</v>
      </c>
      <c r="U455" s="7" t="s">
        <v>44</v>
      </c>
      <c r="V455" s="20" t="s">
        <v>241</v>
      </c>
    </row>
    <row r="456" spans="1:22" x14ac:dyDescent="0.25">
      <c r="A456" s="4" t="s">
        <v>780</v>
      </c>
      <c r="B456" s="15">
        <f>DATEVALUE(Table1[[#This Row],[Date2]])</f>
        <v>45650</v>
      </c>
      <c r="C456" s="2" t="str">
        <f>TEXT(Table1[[#This Row],[Date]],"MMM")</f>
        <v>Dec</v>
      </c>
      <c r="D456" s="2" t="str">
        <f>"Q"&amp;ROUNDUP(MONTH(Table1[[#This Row],[Date]])/3,0)</f>
        <v>Q4</v>
      </c>
      <c r="E456" s="2">
        <f>YEAR(Table1[[#This Row],[Date]])</f>
        <v>2024</v>
      </c>
      <c r="F456" s="2" t="s">
        <v>18</v>
      </c>
      <c r="G456" s="2" t="s">
        <v>52</v>
      </c>
      <c r="H456" s="2" t="s">
        <v>53</v>
      </c>
      <c r="I456" s="2" t="s">
        <v>82</v>
      </c>
      <c r="J456" s="2">
        <v>10</v>
      </c>
      <c r="K456" s="2">
        <v>4000</v>
      </c>
      <c r="L456" s="2">
        <v>25</v>
      </c>
      <c r="M456" s="2">
        <v>30000</v>
      </c>
      <c r="N456" s="23">
        <f>(Table1[[#This Row],[Profit (PKR)]]/Table1[[#This Row],[Total Revenue (PKR)]])</f>
        <v>0.16666666666666666</v>
      </c>
      <c r="O456" s="2">
        <v>2500</v>
      </c>
      <c r="P456" s="2">
        <v>25000</v>
      </c>
      <c r="Q456" s="2">
        <v>5000</v>
      </c>
      <c r="R456" s="2" t="s">
        <v>42</v>
      </c>
      <c r="S456" s="2" t="str">
        <f>IF(AND(Table1[[#This Row],[Total Revenue (PKR)]]&gt;50000, Table1[[#This Row],[Discount %]]&lt;10),"High Value","Standard")</f>
        <v>Standard</v>
      </c>
      <c r="T456" s="2" t="s">
        <v>30</v>
      </c>
      <c r="U456" s="6" t="s">
        <v>44</v>
      </c>
      <c r="V456" s="19" t="s">
        <v>474</v>
      </c>
    </row>
    <row r="457" spans="1:22" x14ac:dyDescent="0.25">
      <c r="A457" s="5" t="s">
        <v>781</v>
      </c>
      <c r="B457" s="16">
        <f>DATEVALUE(Table1[[#This Row],[Date2]])</f>
        <v>45516</v>
      </c>
      <c r="C457" s="3" t="str">
        <f>TEXT(Table1[[#This Row],[Date]],"MMM")</f>
        <v>Aug</v>
      </c>
      <c r="D457" s="3" t="str">
        <f>"Q"&amp;ROUNDUP(MONTH(Table1[[#This Row],[Date]])/3,0)</f>
        <v>Q3</v>
      </c>
      <c r="E457" s="3">
        <f>YEAR(Table1[[#This Row],[Date]])</f>
        <v>2024</v>
      </c>
      <c r="F457" s="3" t="s">
        <v>77</v>
      </c>
      <c r="G457" s="3" t="s">
        <v>27</v>
      </c>
      <c r="H457" s="3" t="s">
        <v>28</v>
      </c>
      <c r="I457" s="3" t="s">
        <v>49</v>
      </c>
      <c r="J457" s="3">
        <v>6</v>
      </c>
      <c r="K457" s="3">
        <v>5000</v>
      </c>
      <c r="L457" s="3">
        <v>20</v>
      </c>
      <c r="M457" s="3">
        <v>24000</v>
      </c>
      <c r="N457" s="24">
        <f>(Table1[[#This Row],[Profit (PKR)]]/Table1[[#This Row],[Total Revenue (PKR)]])</f>
        <v>0.25</v>
      </c>
      <c r="O457" s="3">
        <v>3000</v>
      </c>
      <c r="P457" s="3">
        <v>18000</v>
      </c>
      <c r="Q457" s="3">
        <v>6000</v>
      </c>
      <c r="R457" s="3" t="s">
        <v>22</v>
      </c>
      <c r="S457" s="3" t="str">
        <f>IF(AND(Table1[[#This Row],[Total Revenue (PKR)]]&gt;50000, Table1[[#This Row],[Discount %]]&lt;10),"High Value","Standard")</f>
        <v>Standard</v>
      </c>
      <c r="T457" s="3" t="s">
        <v>36</v>
      </c>
      <c r="U457" s="7" t="s">
        <v>24</v>
      </c>
      <c r="V457" s="20" t="s">
        <v>782</v>
      </c>
    </row>
    <row r="458" spans="1:22" x14ac:dyDescent="0.25">
      <c r="A458" s="4" t="s">
        <v>783</v>
      </c>
      <c r="B458" s="15">
        <f>DATEVALUE(Table1[[#This Row],[Date2]])</f>
        <v>45571</v>
      </c>
      <c r="C458" s="2" t="str">
        <f>TEXT(Table1[[#This Row],[Date]],"MMM")</f>
        <v>Oct</v>
      </c>
      <c r="D458" s="2" t="str">
        <f>"Q"&amp;ROUNDUP(MONTH(Table1[[#This Row],[Date]])/3,0)</f>
        <v>Q4</v>
      </c>
      <c r="E458" s="2">
        <f>YEAR(Table1[[#This Row],[Date]])</f>
        <v>2024</v>
      </c>
      <c r="F458" s="2" t="s">
        <v>39</v>
      </c>
      <c r="G458" s="2" t="s">
        <v>40</v>
      </c>
      <c r="H458" s="2" t="s">
        <v>20</v>
      </c>
      <c r="I458" s="2" t="s">
        <v>182</v>
      </c>
      <c r="J458" s="2">
        <v>1</v>
      </c>
      <c r="K458" s="2">
        <v>5000</v>
      </c>
      <c r="L458" s="2">
        <v>20</v>
      </c>
      <c r="M458" s="2">
        <v>4000</v>
      </c>
      <c r="N458" s="23">
        <f>(Table1[[#This Row],[Profit (PKR)]]/Table1[[#This Row],[Total Revenue (PKR)]])</f>
        <v>0.25</v>
      </c>
      <c r="O458" s="2">
        <v>3000</v>
      </c>
      <c r="P458" s="2">
        <v>3000</v>
      </c>
      <c r="Q458" s="2">
        <v>1000</v>
      </c>
      <c r="R458" s="2" t="s">
        <v>22</v>
      </c>
      <c r="S458" s="2" t="str">
        <f>IF(AND(Table1[[#This Row],[Total Revenue (PKR)]]&gt;50000, Table1[[#This Row],[Discount %]]&lt;10),"High Value","Standard")</f>
        <v>Standard</v>
      </c>
      <c r="T458" s="2" t="s">
        <v>43</v>
      </c>
      <c r="U458" s="6" t="s">
        <v>44</v>
      </c>
      <c r="V458" s="19" t="s">
        <v>26</v>
      </c>
    </row>
    <row r="459" spans="1:22" x14ac:dyDescent="0.25">
      <c r="A459" s="5" t="s">
        <v>784</v>
      </c>
      <c r="B459" s="16">
        <f>DATEVALUE(Table1[[#This Row],[Date2]])</f>
        <v>45585</v>
      </c>
      <c r="C459" s="3" t="str">
        <f>TEXT(Table1[[#This Row],[Date]],"MMM")</f>
        <v>Oct</v>
      </c>
      <c r="D459" s="3" t="str">
        <f>"Q"&amp;ROUNDUP(MONTH(Table1[[#This Row],[Date]])/3,0)</f>
        <v>Q4</v>
      </c>
      <c r="E459" s="3">
        <f>YEAR(Table1[[#This Row],[Date]])</f>
        <v>2024</v>
      </c>
      <c r="F459" s="3" t="s">
        <v>47</v>
      </c>
      <c r="G459" s="3" t="s">
        <v>27</v>
      </c>
      <c r="H459" s="3" t="s">
        <v>53</v>
      </c>
      <c r="I459" s="3" t="s">
        <v>101</v>
      </c>
      <c r="J459" s="3">
        <v>3</v>
      </c>
      <c r="K459" s="3">
        <v>1200</v>
      </c>
      <c r="L459" s="3">
        <v>10</v>
      </c>
      <c r="M459" s="3">
        <v>3240</v>
      </c>
      <c r="N459" s="24">
        <f>(Table1[[#This Row],[Profit (PKR)]]/Table1[[#This Row],[Total Revenue (PKR)]])</f>
        <v>0.35185185185185186</v>
      </c>
      <c r="O459" s="3">
        <v>700</v>
      </c>
      <c r="P459" s="3">
        <v>2100</v>
      </c>
      <c r="Q459" s="3">
        <v>1140</v>
      </c>
      <c r="R459" s="3" t="s">
        <v>22</v>
      </c>
      <c r="S459" s="3" t="str">
        <f>IF(AND(Table1[[#This Row],[Total Revenue (PKR)]]&gt;50000, Table1[[#This Row],[Discount %]]&lt;10),"High Value","Standard")</f>
        <v>Standard</v>
      </c>
      <c r="T459" s="3" t="s">
        <v>23</v>
      </c>
      <c r="U459" s="7" t="s">
        <v>24</v>
      </c>
      <c r="V459" s="20" t="s">
        <v>741</v>
      </c>
    </row>
    <row r="460" spans="1:22" x14ac:dyDescent="0.25">
      <c r="A460" s="4" t="s">
        <v>785</v>
      </c>
      <c r="B460" s="15">
        <f>DATEVALUE(Table1[[#This Row],[Date2]])</f>
        <v>45468</v>
      </c>
      <c r="C460" s="2" t="str">
        <f>TEXT(Table1[[#This Row],[Date]],"MMM")</f>
        <v>Jun</v>
      </c>
      <c r="D460" s="2" t="str">
        <f>"Q"&amp;ROUNDUP(MONTH(Table1[[#This Row],[Date]])/3,0)</f>
        <v>Q2</v>
      </c>
      <c r="E460" s="2">
        <f>YEAR(Table1[[#This Row],[Date]])</f>
        <v>2024</v>
      </c>
      <c r="F460" s="2" t="s">
        <v>33</v>
      </c>
      <c r="G460" s="2" t="s">
        <v>27</v>
      </c>
      <c r="H460" s="2" t="s">
        <v>53</v>
      </c>
      <c r="I460" s="2" t="s">
        <v>54</v>
      </c>
      <c r="J460" s="2">
        <v>6</v>
      </c>
      <c r="K460" s="2">
        <v>2000</v>
      </c>
      <c r="L460" s="2">
        <v>5</v>
      </c>
      <c r="M460" s="2">
        <v>11400</v>
      </c>
      <c r="N460" s="23">
        <f>(Table1[[#This Row],[Profit (PKR)]]/Table1[[#This Row],[Total Revenue (PKR)]])</f>
        <v>0.36842105263157893</v>
      </c>
      <c r="O460" s="2">
        <v>1200</v>
      </c>
      <c r="P460" s="2">
        <v>7200</v>
      </c>
      <c r="Q460" s="2">
        <v>4200</v>
      </c>
      <c r="R460" s="2" t="s">
        <v>22</v>
      </c>
      <c r="S460" s="2" t="str">
        <f>IF(AND(Table1[[#This Row],[Total Revenue (PKR)]]&gt;50000, Table1[[#This Row],[Discount %]]&lt;10),"High Value","Standard")</f>
        <v>Standard</v>
      </c>
      <c r="T460" s="2" t="s">
        <v>30</v>
      </c>
      <c r="U460" s="6" t="s">
        <v>86</v>
      </c>
      <c r="V460" s="19" t="s">
        <v>46</v>
      </c>
    </row>
    <row r="461" spans="1:22" x14ac:dyDescent="0.25">
      <c r="A461" s="5" t="s">
        <v>786</v>
      </c>
      <c r="B461" s="16">
        <f>DATEVALUE(Table1[[#This Row],[Date2]])</f>
        <v>45391</v>
      </c>
      <c r="C461" s="3" t="str">
        <f>TEXT(Table1[[#This Row],[Date]],"MMM")</f>
        <v>Apr</v>
      </c>
      <c r="D461" s="3" t="str">
        <f>"Q"&amp;ROUNDUP(MONTH(Table1[[#This Row],[Date]])/3,0)</f>
        <v>Q2</v>
      </c>
      <c r="E461" s="3">
        <f>YEAR(Table1[[#This Row],[Date]])</f>
        <v>2024</v>
      </c>
      <c r="F461" s="3" t="s">
        <v>18</v>
      </c>
      <c r="G461" s="3" t="s">
        <v>40</v>
      </c>
      <c r="H461" s="3" t="s">
        <v>53</v>
      </c>
      <c r="I461" s="3" t="s">
        <v>82</v>
      </c>
      <c r="J461" s="3">
        <v>18</v>
      </c>
      <c r="K461" s="3">
        <v>4000</v>
      </c>
      <c r="L461" s="3">
        <v>15</v>
      </c>
      <c r="M461" s="3">
        <v>61200</v>
      </c>
      <c r="N461" s="24">
        <f>(Table1[[#This Row],[Profit (PKR)]]/Table1[[#This Row],[Total Revenue (PKR)]])</f>
        <v>0.26470588235294118</v>
      </c>
      <c r="O461" s="3">
        <v>2500</v>
      </c>
      <c r="P461" s="3">
        <v>45000</v>
      </c>
      <c r="Q461" s="3">
        <v>16200</v>
      </c>
      <c r="R461" s="3" t="s">
        <v>22</v>
      </c>
      <c r="S461" s="3" t="str">
        <f>IF(AND(Table1[[#This Row],[Total Revenue (PKR)]]&gt;50000, Table1[[#This Row],[Discount %]]&lt;10),"High Value","Standard")</f>
        <v>Standard</v>
      </c>
      <c r="T461" s="3" t="s">
        <v>55</v>
      </c>
      <c r="U461" s="7" t="s">
        <v>24</v>
      </c>
      <c r="V461" s="20" t="s">
        <v>787</v>
      </c>
    </row>
    <row r="462" spans="1:22" x14ac:dyDescent="0.25">
      <c r="A462" s="4" t="s">
        <v>788</v>
      </c>
      <c r="B462" s="15">
        <f>DATEVALUE(Table1[[#This Row],[Date2]])</f>
        <v>45420</v>
      </c>
      <c r="C462" s="2" t="str">
        <f>TEXT(Table1[[#This Row],[Date]],"MMM")</f>
        <v>May</v>
      </c>
      <c r="D462" s="2" t="str">
        <f>"Q"&amp;ROUNDUP(MONTH(Table1[[#This Row],[Date]])/3,0)</f>
        <v>Q2</v>
      </c>
      <c r="E462" s="2">
        <f>YEAR(Table1[[#This Row],[Date]])</f>
        <v>2024</v>
      </c>
      <c r="F462" s="2" t="s">
        <v>18</v>
      </c>
      <c r="G462" s="2" t="s">
        <v>64</v>
      </c>
      <c r="H462" s="2" t="s">
        <v>53</v>
      </c>
      <c r="I462" s="2" t="s">
        <v>71</v>
      </c>
      <c r="J462" s="2">
        <v>11</v>
      </c>
      <c r="K462" s="2">
        <v>8000</v>
      </c>
      <c r="L462" s="2">
        <v>10</v>
      </c>
      <c r="M462" s="2">
        <v>79200</v>
      </c>
      <c r="N462" s="23">
        <f>(Table1[[#This Row],[Profit (PKR)]]/Table1[[#This Row],[Total Revenue (PKR)]])</f>
        <v>0.30555555555555558</v>
      </c>
      <c r="O462" s="2">
        <v>5000</v>
      </c>
      <c r="P462" s="2">
        <v>55000</v>
      </c>
      <c r="Q462" s="2">
        <v>24200</v>
      </c>
      <c r="R462" s="2" t="s">
        <v>22</v>
      </c>
      <c r="S462" s="2" t="str">
        <f>IF(AND(Table1[[#This Row],[Total Revenue (PKR)]]&gt;50000, Table1[[#This Row],[Discount %]]&lt;10),"High Value","Standard")</f>
        <v>Standard</v>
      </c>
      <c r="T462" s="2" t="s">
        <v>23</v>
      </c>
      <c r="U462" s="6" t="s">
        <v>24</v>
      </c>
      <c r="V462" s="19" t="s">
        <v>285</v>
      </c>
    </row>
    <row r="463" spans="1:22" x14ac:dyDescent="0.25">
      <c r="A463" s="5" t="s">
        <v>789</v>
      </c>
      <c r="B463" s="16">
        <f>DATEVALUE(Table1[[#This Row],[Date2]])</f>
        <v>45343</v>
      </c>
      <c r="C463" s="3" t="str">
        <f>TEXT(Table1[[#This Row],[Date]],"MMM")</f>
        <v>Feb</v>
      </c>
      <c r="D463" s="3" t="str">
        <f>"Q"&amp;ROUNDUP(MONTH(Table1[[#This Row],[Date]])/3,0)</f>
        <v>Q1</v>
      </c>
      <c r="E463" s="3">
        <f>YEAR(Table1[[#This Row],[Date]])</f>
        <v>2024</v>
      </c>
      <c r="F463" s="3" t="s">
        <v>39</v>
      </c>
      <c r="G463" s="3" t="s">
        <v>159</v>
      </c>
      <c r="H463" s="3" t="s">
        <v>34</v>
      </c>
      <c r="I463" s="3" t="s">
        <v>41</v>
      </c>
      <c r="J463" s="3">
        <v>16</v>
      </c>
      <c r="K463" s="3">
        <v>3000</v>
      </c>
      <c r="L463" s="3">
        <v>15</v>
      </c>
      <c r="M463" s="3">
        <v>40800</v>
      </c>
      <c r="N463" s="24">
        <f>(Table1[[#This Row],[Profit (PKR)]]/Table1[[#This Row],[Total Revenue (PKR)]])</f>
        <v>0.41176470588235292</v>
      </c>
      <c r="O463" s="3">
        <v>1500</v>
      </c>
      <c r="P463" s="3">
        <v>24000</v>
      </c>
      <c r="Q463" s="3">
        <v>16800</v>
      </c>
      <c r="R463" s="3" t="s">
        <v>42</v>
      </c>
      <c r="S463" s="3" t="str">
        <f>IF(AND(Table1[[#This Row],[Total Revenue (PKR)]]&gt;50000, Table1[[#This Row],[Discount %]]&lt;10),"High Value","Standard")</f>
        <v>Standard</v>
      </c>
      <c r="T463" s="3" t="s">
        <v>30</v>
      </c>
      <c r="U463" s="7" t="s">
        <v>24</v>
      </c>
      <c r="V463" s="20" t="s">
        <v>362</v>
      </c>
    </row>
    <row r="464" spans="1:22" x14ac:dyDescent="0.25">
      <c r="A464" s="4" t="s">
        <v>790</v>
      </c>
      <c r="B464" s="15">
        <f>DATEVALUE(Table1[[#This Row],[Date2]])</f>
        <v>45647</v>
      </c>
      <c r="C464" s="2" t="str">
        <f>TEXT(Table1[[#This Row],[Date]],"MMM")</f>
        <v>Dec</v>
      </c>
      <c r="D464" s="2" t="str">
        <f>"Q"&amp;ROUNDUP(MONTH(Table1[[#This Row],[Date]])/3,0)</f>
        <v>Q4</v>
      </c>
      <c r="E464" s="2">
        <f>YEAR(Table1[[#This Row],[Date]])</f>
        <v>2024</v>
      </c>
      <c r="F464" s="2" t="s">
        <v>47</v>
      </c>
      <c r="G464" s="2" t="s">
        <v>40</v>
      </c>
      <c r="H464" s="2" t="s">
        <v>53</v>
      </c>
      <c r="I464" s="2" t="s">
        <v>101</v>
      </c>
      <c r="J464" s="2">
        <v>12</v>
      </c>
      <c r="K464" s="2">
        <v>1200</v>
      </c>
      <c r="L464" s="2">
        <v>10</v>
      </c>
      <c r="M464" s="2">
        <v>12960</v>
      </c>
      <c r="N464" s="23">
        <f>(Table1[[#This Row],[Profit (PKR)]]/Table1[[#This Row],[Total Revenue (PKR)]])</f>
        <v>0.35185185185185186</v>
      </c>
      <c r="O464" s="2">
        <v>700</v>
      </c>
      <c r="P464" s="2">
        <v>8400</v>
      </c>
      <c r="Q464" s="2">
        <v>4560</v>
      </c>
      <c r="R464" s="2" t="s">
        <v>42</v>
      </c>
      <c r="S464" s="2" t="str">
        <f>IF(AND(Table1[[#This Row],[Total Revenue (PKR)]]&gt;50000, Table1[[#This Row],[Discount %]]&lt;10),"High Value","Standard")</f>
        <v>Standard</v>
      </c>
      <c r="T464" s="2" t="s">
        <v>36</v>
      </c>
      <c r="U464" s="6" t="s">
        <v>44</v>
      </c>
      <c r="V464" s="19" t="s">
        <v>184</v>
      </c>
    </row>
    <row r="465" spans="1:22" x14ac:dyDescent="0.25">
      <c r="A465" s="5" t="s">
        <v>791</v>
      </c>
      <c r="B465" s="16">
        <f>DATEVALUE(Table1[[#This Row],[Date2]])</f>
        <v>45418</v>
      </c>
      <c r="C465" s="3" t="str">
        <f>TEXT(Table1[[#This Row],[Date]],"MMM")</f>
        <v>May</v>
      </c>
      <c r="D465" s="3" t="str">
        <f>"Q"&amp;ROUNDUP(MONTH(Table1[[#This Row],[Date]])/3,0)</f>
        <v>Q2</v>
      </c>
      <c r="E465" s="3">
        <f>YEAR(Table1[[#This Row],[Date]])</f>
        <v>2024</v>
      </c>
      <c r="F465" s="3" t="s">
        <v>33</v>
      </c>
      <c r="G465" s="3" t="s">
        <v>27</v>
      </c>
      <c r="H465" s="3" t="s">
        <v>20</v>
      </c>
      <c r="I465" s="3" t="s">
        <v>182</v>
      </c>
      <c r="J465" s="3">
        <v>5</v>
      </c>
      <c r="K465" s="3">
        <v>5000</v>
      </c>
      <c r="L465" s="3">
        <v>25</v>
      </c>
      <c r="M465" s="3">
        <v>18750</v>
      </c>
      <c r="N465" s="24">
        <f>(Table1[[#This Row],[Profit (PKR)]]/Table1[[#This Row],[Total Revenue (PKR)]])</f>
        <v>0.2</v>
      </c>
      <c r="O465" s="3">
        <v>3000</v>
      </c>
      <c r="P465" s="3">
        <v>15000</v>
      </c>
      <c r="Q465" s="3">
        <v>3750</v>
      </c>
      <c r="R465" s="3" t="s">
        <v>42</v>
      </c>
      <c r="S465" s="3" t="str">
        <f>IF(AND(Table1[[#This Row],[Total Revenue (PKR)]]&gt;50000, Table1[[#This Row],[Discount %]]&lt;10),"High Value","Standard")</f>
        <v>Standard</v>
      </c>
      <c r="T465" s="3" t="s">
        <v>66</v>
      </c>
      <c r="U465" s="7" t="s">
        <v>44</v>
      </c>
      <c r="V465" s="20" t="s">
        <v>70</v>
      </c>
    </row>
    <row r="466" spans="1:22" x14ac:dyDescent="0.25">
      <c r="A466" s="4" t="s">
        <v>792</v>
      </c>
      <c r="B466" s="15">
        <f>DATEVALUE(Table1[[#This Row],[Date2]])</f>
        <v>45475</v>
      </c>
      <c r="C466" s="2" t="str">
        <f>TEXT(Table1[[#This Row],[Date]],"MMM")</f>
        <v>Jul</v>
      </c>
      <c r="D466" s="2" t="str">
        <f>"Q"&amp;ROUNDUP(MONTH(Table1[[#This Row],[Date]])/3,0)</f>
        <v>Q3</v>
      </c>
      <c r="E466" s="2">
        <f>YEAR(Table1[[#This Row],[Date]])</f>
        <v>2024</v>
      </c>
      <c r="F466" s="2" t="s">
        <v>39</v>
      </c>
      <c r="G466" s="2" t="s">
        <v>74</v>
      </c>
      <c r="H466" s="2" t="s">
        <v>53</v>
      </c>
      <c r="I466" s="2" t="s">
        <v>82</v>
      </c>
      <c r="J466" s="2">
        <v>6</v>
      </c>
      <c r="K466" s="2">
        <v>4000</v>
      </c>
      <c r="L466" s="2">
        <v>25</v>
      </c>
      <c r="M466" s="2">
        <v>18000</v>
      </c>
      <c r="N466" s="23">
        <f>(Table1[[#This Row],[Profit (PKR)]]/Table1[[#This Row],[Total Revenue (PKR)]])</f>
        <v>0.16666666666666666</v>
      </c>
      <c r="O466" s="2">
        <v>2500</v>
      </c>
      <c r="P466" s="2">
        <v>15000</v>
      </c>
      <c r="Q466" s="2">
        <v>3000</v>
      </c>
      <c r="R466" s="2" t="s">
        <v>22</v>
      </c>
      <c r="S466" s="2" t="str">
        <f>IF(AND(Table1[[#This Row],[Total Revenue (PKR)]]&gt;50000, Table1[[#This Row],[Discount %]]&lt;10),"High Value","Standard")</f>
        <v>Standard</v>
      </c>
      <c r="T466" s="2" t="s">
        <v>55</v>
      </c>
      <c r="U466" s="6" t="s">
        <v>86</v>
      </c>
      <c r="V466" s="19" t="s">
        <v>282</v>
      </c>
    </row>
    <row r="467" spans="1:22" x14ac:dyDescent="0.25">
      <c r="A467" s="5" t="s">
        <v>793</v>
      </c>
      <c r="B467" s="16">
        <f>DATEVALUE(Table1[[#This Row],[Date2]])</f>
        <v>45363</v>
      </c>
      <c r="C467" s="3" t="str">
        <f>TEXT(Table1[[#This Row],[Date]],"MMM")</f>
        <v>Mar</v>
      </c>
      <c r="D467" s="3" t="str">
        <f>"Q"&amp;ROUNDUP(MONTH(Table1[[#This Row],[Date]])/3,0)</f>
        <v>Q1</v>
      </c>
      <c r="E467" s="3">
        <f>YEAR(Table1[[#This Row],[Date]])</f>
        <v>2024</v>
      </c>
      <c r="F467" s="3" t="s">
        <v>63</v>
      </c>
      <c r="G467" s="3" t="s">
        <v>64</v>
      </c>
      <c r="H467" s="3" t="s">
        <v>20</v>
      </c>
      <c r="I467" s="3" t="s">
        <v>65</v>
      </c>
      <c r="J467" s="3">
        <v>3</v>
      </c>
      <c r="K467" s="3">
        <v>18000</v>
      </c>
      <c r="L467" s="3">
        <v>0</v>
      </c>
      <c r="M467" s="3">
        <v>54000</v>
      </c>
      <c r="N467" s="24">
        <f>(Table1[[#This Row],[Profit (PKR)]]/Table1[[#This Row],[Total Revenue (PKR)]])</f>
        <v>0.33333333333333331</v>
      </c>
      <c r="O467" s="3">
        <v>12000</v>
      </c>
      <c r="P467" s="3">
        <v>36000</v>
      </c>
      <c r="Q467" s="3">
        <v>18000</v>
      </c>
      <c r="R467" s="3" t="s">
        <v>22</v>
      </c>
      <c r="S467" s="3" t="str">
        <f>IF(AND(Table1[[#This Row],[Total Revenue (PKR)]]&gt;50000, Table1[[#This Row],[Discount %]]&lt;10),"High Value","Standard")</f>
        <v>High Value</v>
      </c>
      <c r="T467" s="3" t="s">
        <v>30</v>
      </c>
      <c r="U467" s="7" t="s">
        <v>44</v>
      </c>
      <c r="V467" s="20" t="s">
        <v>113</v>
      </c>
    </row>
    <row r="468" spans="1:22" x14ac:dyDescent="0.25">
      <c r="A468" s="4" t="s">
        <v>794</v>
      </c>
      <c r="B468" s="15">
        <f>DATEVALUE(Table1[[#This Row],[Date2]])</f>
        <v>45594</v>
      </c>
      <c r="C468" s="2" t="str">
        <f>TEXT(Table1[[#This Row],[Date]],"MMM")</f>
        <v>Oct</v>
      </c>
      <c r="D468" s="2" t="str">
        <f>"Q"&amp;ROUNDUP(MONTH(Table1[[#This Row],[Date]])/3,0)</f>
        <v>Q4</v>
      </c>
      <c r="E468" s="2">
        <f>YEAR(Table1[[#This Row],[Date]])</f>
        <v>2024</v>
      </c>
      <c r="F468" s="2" t="s">
        <v>33</v>
      </c>
      <c r="G468" s="2" t="s">
        <v>19</v>
      </c>
      <c r="H468" s="2" t="s">
        <v>53</v>
      </c>
      <c r="I468" s="2" t="s">
        <v>85</v>
      </c>
      <c r="J468" s="2">
        <v>18</v>
      </c>
      <c r="K468" s="2">
        <v>1500</v>
      </c>
      <c r="L468" s="2">
        <v>20</v>
      </c>
      <c r="M468" s="2">
        <v>21600</v>
      </c>
      <c r="N468" s="23">
        <f>(Table1[[#This Row],[Profit (PKR)]]/Table1[[#This Row],[Total Revenue (PKR)]])</f>
        <v>0.33333333333333331</v>
      </c>
      <c r="O468" s="2">
        <v>800</v>
      </c>
      <c r="P468" s="2">
        <v>14400</v>
      </c>
      <c r="Q468" s="2">
        <v>7200</v>
      </c>
      <c r="R468" s="2" t="s">
        <v>42</v>
      </c>
      <c r="S468" s="2" t="str">
        <f>IF(AND(Table1[[#This Row],[Total Revenue (PKR)]]&gt;50000, Table1[[#This Row],[Discount %]]&lt;10),"High Value","Standard")</f>
        <v>Standard</v>
      </c>
      <c r="T468" s="2" t="s">
        <v>23</v>
      </c>
      <c r="U468" s="6" t="s">
        <v>86</v>
      </c>
      <c r="V468" s="19" t="s">
        <v>795</v>
      </c>
    </row>
    <row r="469" spans="1:22" x14ac:dyDescent="0.25">
      <c r="A469" s="5" t="s">
        <v>796</v>
      </c>
      <c r="B469" s="16">
        <f>DATEVALUE(Table1[[#This Row],[Date2]])</f>
        <v>45479</v>
      </c>
      <c r="C469" s="3" t="str">
        <f>TEXT(Table1[[#This Row],[Date]],"MMM")</f>
        <v>Jul</v>
      </c>
      <c r="D469" s="3" t="str">
        <f>"Q"&amp;ROUNDUP(MONTH(Table1[[#This Row],[Date]])/3,0)</f>
        <v>Q3</v>
      </c>
      <c r="E469" s="3">
        <f>YEAR(Table1[[#This Row],[Date]])</f>
        <v>2024</v>
      </c>
      <c r="F469" s="3" t="s">
        <v>77</v>
      </c>
      <c r="G469" s="3" t="s">
        <v>64</v>
      </c>
      <c r="H469" s="3" t="s">
        <v>53</v>
      </c>
      <c r="I469" s="3" t="s">
        <v>85</v>
      </c>
      <c r="J469" s="3">
        <v>5</v>
      </c>
      <c r="K469" s="3">
        <v>1500</v>
      </c>
      <c r="L469" s="3">
        <v>15</v>
      </c>
      <c r="M469" s="3">
        <v>6375</v>
      </c>
      <c r="N469" s="24">
        <f>(Table1[[#This Row],[Profit (PKR)]]/Table1[[#This Row],[Total Revenue (PKR)]])</f>
        <v>0.37254901960784315</v>
      </c>
      <c r="O469" s="3">
        <v>800</v>
      </c>
      <c r="P469" s="3">
        <v>4000</v>
      </c>
      <c r="Q469" s="3">
        <v>2375</v>
      </c>
      <c r="R469" s="3" t="s">
        <v>22</v>
      </c>
      <c r="S469" s="3" t="str">
        <f>IF(AND(Table1[[#This Row],[Total Revenue (PKR)]]&gt;50000, Table1[[#This Row],[Discount %]]&lt;10),"High Value","Standard")</f>
        <v>Standard</v>
      </c>
      <c r="T469" s="3" t="s">
        <v>66</v>
      </c>
      <c r="U469" s="7" t="s">
        <v>44</v>
      </c>
      <c r="V469" s="20" t="s">
        <v>797</v>
      </c>
    </row>
    <row r="470" spans="1:22" x14ac:dyDescent="0.25">
      <c r="A470" s="4" t="s">
        <v>798</v>
      </c>
      <c r="B470" s="15">
        <f>DATEVALUE(Table1[[#This Row],[Date2]])</f>
        <v>45297</v>
      </c>
      <c r="C470" s="2" t="str">
        <f>TEXT(Table1[[#This Row],[Date]],"MMM")</f>
        <v>Jan</v>
      </c>
      <c r="D470" s="2" t="str">
        <f>"Q"&amp;ROUNDUP(MONTH(Table1[[#This Row],[Date]])/3,0)</f>
        <v>Q1</v>
      </c>
      <c r="E470" s="2">
        <f>YEAR(Table1[[#This Row],[Date]])</f>
        <v>2024</v>
      </c>
      <c r="F470" s="2" t="s">
        <v>33</v>
      </c>
      <c r="G470" s="2" t="s">
        <v>40</v>
      </c>
      <c r="H470" s="2" t="s">
        <v>53</v>
      </c>
      <c r="I470" s="2" t="s">
        <v>54</v>
      </c>
      <c r="J470" s="2">
        <v>15</v>
      </c>
      <c r="K470" s="2">
        <v>2000</v>
      </c>
      <c r="L470" s="2">
        <v>5</v>
      </c>
      <c r="M470" s="2">
        <v>28500</v>
      </c>
      <c r="N470" s="23">
        <f>(Table1[[#This Row],[Profit (PKR)]]/Table1[[#This Row],[Total Revenue (PKR)]])</f>
        <v>0.36842105263157893</v>
      </c>
      <c r="O470" s="2">
        <v>1200</v>
      </c>
      <c r="P470" s="2">
        <v>18000</v>
      </c>
      <c r="Q470" s="2">
        <v>10500</v>
      </c>
      <c r="R470" s="2" t="s">
        <v>22</v>
      </c>
      <c r="S470" s="2" t="str">
        <f>IF(AND(Table1[[#This Row],[Total Revenue (PKR)]]&gt;50000, Table1[[#This Row],[Discount %]]&lt;10),"High Value","Standard")</f>
        <v>Standard</v>
      </c>
      <c r="T470" s="2" t="s">
        <v>30</v>
      </c>
      <c r="U470" s="6" t="s">
        <v>95</v>
      </c>
      <c r="V470" s="19" t="s">
        <v>799</v>
      </c>
    </row>
    <row r="471" spans="1:22" x14ac:dyDescent="0.25">
      <c r="A471" s="5" t="s">
        <v>800</v>
      </c>
      <c r="B471" s="16">
        <f>DATEVALUE(Table1[[#This Row],[Date2]])</f>
        <v>45629</v>
      </c>
      <c r="C471" s="3" t="str">
        <f>TEXT(Table1[[#This Row],[Date]],"MMM")</f>
        <v>Dec</v>
      </c>
      <c r="D471" s="3" t="str">
        <f>"Q"&amp;ROUNDUP(MONTH(Table1[[#This Row],[Date]])/3,0)</f>
        <v>Q4</v>
      </c>
      <c r="E471" s="3">
        <f>YEAR(Table1[[#This Row],[Date]])</f>
        <v>2024</v>
      </c>
      <c r="F471" s="3" t="s">
        <v>92</v>
      </c>
      <c r="G471" s="3" t="s">
        <v>74</v>
      </c>
      <c r="H471" s="3" t="s">
        <v>20</v>
      </c>
      <c r="I471" s="3" t="s">
        <v>65</v>
      </c>
      <c r="J471" s="3">
        <v>8</v>
      </c>
      <c r="K471" s="3">
        <v>18000</v>
      </c>
      <c r="L471" s="3">
        <v>15</v>
      </c>
      <c r="M471" s="3">
        <v>122400</v>
      </c>
      <c r="N471" s="24">
        <f>(Table1[[#This Row],[Profit (PKR)]]/Table1[[#This Row],[Total Revenue (PKR)]])</f>
        <v>0.21568627450980393</v>
      </c>
      <c r="O471" s="3">
        <v>12000</v>
      </c>
      <c r="P471" s="3">
        <v>96000</v>
      </c>
      <c r="Q471" s="3">
        <v>26400</v>
      </c>
      <c r="R471" s="3" t="s">
        <v>22</v>
      </c>
      <c r="S471" s="3" t="str">
        <f>IF(AND(Table1[[#This Row],[Total Revenue (PKR)]]&gt;50000, Table1[[#This Row],[Discount %]]&lt;10),"High Value","Standard")</f>
        <v>Standard</v>
      </c>
      <c r="T471" s="3" t="s">
        <v>43</v>
      </c>
      <c r="U471" s="7" t="s">
        <v>44</v>
      </c>
      <c r="V471" s="20" t="s">
        <v>801</v>
      </c>
    </row>
    <row r="472" spans="1:22" x14ac:dyDescent="0.25">
      <c r="A472" s="4" t="s">
        <v>802</v>
      </c>
      <c r="B472" s="15">
        <f>DATEVALUE(Table1[[#This Row],[Date2]])</f>
        <v>45411</v>
      </c>
      <c r="C472" s="2" t="str">
        <f>TEXT(Table1[[#This Row],[Date]],"MMM")</f>
        <v>Apr</v>
      </c>
      <c r="D472" s="2" t="str">
        <f>"Q"&amp;ROUNDUP(MONTH(Table1[[#This Row],[Date]])/3,0)</f>
        <v>Q2</v>
      </c>
      <c r="E472" s="2">
        <f>YEAR(Table1[[#This Row],[Date]])</f>
        <v>2024</v>
      </c>
      <c r="F472" s="2" t="s">
        <v>104</v>
      </c>
      <c r="G472" s="2" t="s">
        <v>64</v>
      </c>
      <c r="H472" s="2" t="s">
        <v>53</v>
      </c>
      <c r="I472" s="2" t="s">
        <v>85</v>
      </c>
      <c r="J472" s="2">
        <v>13</v>
      </c>
      <c r="K472" s="2">
        <v>1500</v>
      </c>
      <c r="L472" s="2">
        <v>15</v>
      </c>
      <c r="M472" s="2">
        <v>16575</v>
      </c>
      <c r="N472" s="23">
        <f>(Table1[[#This Row],[Profit (PKR)]]/Table1[[#This Row],[Total Revenue (PKR)]])</f>
        <v>0.37254901960784315</v>
      </c>
      <c r="O472" s="2">
        <v>800</v>
      </c>
      <c r="P472" s="2">
        <v>10400</v>
      </c>
      <c r="Q472" s="2">
        <v>6175</v>
      </c>
      <c r="R472" s="2" t="s">
        <v>42</v>
      </c>
      <c r="S472" s="2" t="str">
        <f>IF(AND(Table1[[#This Row],[Total Revenue (PKR)]]&gt;50000, Table1[[#This Row],[Discount %]]&lt;10),"High Value","Standard")</f>
        <v>Standard</v>
      </c>
      <c r="T472" s="2" t="s">
        <v>43</v>
      </c>
      <c r="U472" s="6" t="s">
        <v>44</v>
      </c>
      <c r="V472" s="19" t="s">
        <v>58</v>
      </c>
    </row>
    <row r="473" spans="1:22" x14ac:dyDescent="0.25">
      <c r="A473" s="5" t="s">
        <v>803</v>
      </c>
      <c r="B473" s="16">
        <f>DATEVALUE(Table1[[#This Row],[Date2]])</f>
        <v>45624</v>
      </c>
      <c r="C473" s="3" t="str">
        <f>TEXT(Table1[[#This Row],[Date]],"MMM")</f>
        <v>Nov</v>
      </c>
      <c r="D473" s="3" t="str">
        <f>"Q"&amp;ROUNDUP(MONTH(Table1[[#This Row],[Date]])/3,0)</f>
        <v>Q4</v>
      </c>
      <c r="E473" s="3">
        <f>YEAR(Table1[[#This Row],[Date]])</f>
        <v>2024</v>
      </c>
      <c r="F473" s="3" t="s">
        <v>100</v>
      </c>
      <c r="G473" s="3" t="s">
        <v>159</v>
      </c>
      <c r="H473" s="3" t="s">
        <v>53</v>
      </c>
      <c r="I473" s="3" t="s">
        <v>85</v>
      </c>
      <c r="J473" s="3">
        <v>9</v>
      </c>
      <c r="K473" s="3">
        <v>1500</v>
      </c>
      <c r="L473" s="3">
        <v>20</v>
      </c>
      <c r="M473" s="3">
        <v>10800</v>
      </c>
      <c r="N473" s="24">
        <f>(Table1[[#This Row],[Profit (PKR)]]/Table1[[#This Row],[Total Revenue (PKR)]])</f>
        <v>0.33333333333333331</v>
      </c>
      <c r="O473" s="3">
        <v>800</v>
      </c>
      <c r="P473" s="3">
        <v>7200</v>
      </c>
      <c r="Q473" s="3">
        <v>3600</v>
      </c>
      <c r="R473" s="3" t="s">
        <v>22</v>
      </c>
      <c r="S473" s="3" t="str">
        <f>IF(AND(Table1[[#This Row],[Total Revenue (PKR)]]&gt;50000, Table1[[#This Row],[Discount %]]&lt;10),"High Value","Standard")</f>
        <v>Standard</v>
      </c>
      <c r="T473" s="3" t="s">
        <v>66</v>
      </c>
      <c r="U473" s="7" t="s">
        <v>24</v>
      </c>
      <c r="V473" s="20" t="s">
        <v>375</v>
      </c>
    </row>
    <row r="474" spans="1:22" x14ac:dyDescent="0.25">
      <c r="A474" s="4" t="s">
        <v>804</v>
      </c>
      <c r="B474" s="15">
        <f>DATEVALUE(Table1[[#This Row],[Date2]])</f>
        <v>45479</v>
      </c>
      <c r="C474" s="2" t="str">
        <f>TEXT(Table1[[#This Row],[Date]],"MMM")</f>
        <v>Jul</v>
      </c>
      <c r="D474" s="2" t="str">
        <f>"Q"&amp;ROUNDUP(MONTH(Table1[[#This Row],[Date]])/3,0)</f>
        <v>Q3</v>
      </c>
      <c r="E474" s="2">
        <f>YEAR(Table1[[#This Row],[Date]])</f>
        <v>2024</v>
      </c>
      <c r="F474" s="2" t="s">
        <v>47</v>
      </c>
      <c r="G474" s="2" t="s">
        <v>159</v>
      </c>
      <c r="H474" s="2" t="s">
        <v>53</v>
      </c>
      <c r="I474" s="2" t="s">
        <v>85</v>
      </c>
      <c r="J474" s="2">
        <v>13</v>
      </c>
      <c r="K474" s="2">
        <v>1500</v>
      </c>
      <c r="L474" s="2">
        <v>5</v>
      </c>
      <c r="M474" s="2">
        <v>18525</v>
      </c>
      <c r="N474" s="23">
        <f>(Table1[[#This Row],[Profit (PKR)]]/Table1[[#This Row],[Total Revenue (PKR)]])</f>
        <v>0.43859649122807015</v>
      </c>
      <c r="O474" s="2">
        <v>800</v>
      </c>
      <c r="P474" s="2">
        <v>10400</v>
      </c>
      <c r="Q474" s="2">
        <v>8125</v>
      </c>
      <c r="R474" s="2" t="s">
        <v>42</v>
      </c>
      <c r="S474" s="2" t="str">
        <f>IF(AND(Table1[[#This Row],[Total Revenue (PKR)]]&gt;50000, Table1[[#This Row],[Discount %]]&lt;10),"High Value","Standard")</f>
        <v>Standard</v>
      </c>
      <c r="T474" s="2" t="s">
        <v>55</v>
      </c>
      <c r="U474" s="6" t="s">
        <v>86</v>
      </c>
      <c r="V474" s="19" t="s">
        <v>797</v>
      </c>
    </row>
    <row r="475" spans="1:22" x14ac:dyDescent="0.25">
      <c r="A475" s="5" t="s">
        <v>805</v>
      </c>
      <c r="B475" s="16">
        <f>DATEVALUE(Table1[[#This Row],[Date2]])</f>
        <v>45468</v>
      </c>
      <c r="C475" s="3" t="str">
        <f>TEXT(Table1[[#This Row],[Date]],"MMM")</f>
        <v>Jun</v>
      </c>
      <c r="D475" s="3" t="str">
        <f>"Q"&amp;ROUNDUP(MONTH(Table1[[#This Row],[Date]])/3,0)</f>
        <v>Q2</v>
      </c>
      <c r="E475" s="3">
        <f>YEAR(Table1[[#This Row],[Date]])</f>
        <v>2024</v>
      </c>
      <c r="F475" s="3" t="s">
        <v>122</v>
      </c>
      <c r="G475" s="3" t="s">
        <v>74</v>
      </c>
      <c r="H475" s="3" t="s">
        <v>53</v>
      </c>
      <c r="I475" s="3" t="s">
        <v>82</v>
      </c>
      <c r="J475" s="3">
        <v>17</v>
      </c>
      <c r="K475" s="3">
        <v>4000</v>
      </c>
      <c r="L475" s="3">
        <v>5</v>
      </c>
      <c r="M475" s="3">
        <v>64600</v>
      </c>
      <c r="N475" s="24">
        <f>(Table1[[#This Row],[Profit (PKR)]]/Table1[[#This Row],[Total Revenue (PKR)]])</f>
        <v>0.34210526315789475</v>
      </c>
      <c r="O475" s="3">
        <v>2500</v>
      </c>
      <c r="P475" s="3">
        <v>42500</v>
      </c>
      <c r="Q475" s="3">
        <v>22100</v>
      </c>
      <c r="R475" s="3" t="s">
        <v>42</v>
      </c>
      <c r="S475" s="3" t="str">
        <f>IF(AND(Table1[[#This Row],[Total Revenue (PKR)]]&gt;50000, Table1[[#This Row],[Discount %]]&lt;10),"High Value","Standard")</f>
        <v>High Value</v>
      </c>
      <c r="T475" s="3" t="s">
        <v>36</v>
      </c>
      <c r="U475" s="7" t="s">
        <v>44</v>
      </c>
      <c r="V475" s="20" t="s">
        <v>46</v>
      </c>
    </row>
    <row r="476" spans="1:22" x14ac:dyDescent="0.25">
      <c r="A476" s="4" t="s">
        <v>806</v>
      </c>
      <c r="B476" s="15">
        <f>DATEVALUE(Table1[[#This Row],[Date2]])</f>
        <v>45555</v>
      </c>
      <c r="C476" s="2" t="str">
        <f>TEXT(Table1[[#This Row],[Date]],"MMM")</f>
        <v>Sep</v>
      </c>
      <c r="D476" s="2" t="str">
        <f>"Q"&amp;ROUNDUP(MONTH(Table1[[#This Row],[Date]])/3,0)</f>
        <v>Q3</v>
      </c>
      <c r="E476" s="2">
        <f>YEAR(Table1[[#This Row],[Date]])</f>
        <v>2024</v>
      </c>
      <c r="F476" s="2" t="s">
        <v>39</v>
      </c>
      <c r="G476" s="2" t="s">
        <v>64</v>
      </c>
      <c r="H476" s="2" t="s">
        <v>34</v>
      </c>
      <c r="I476" s="2" t="s">
        <v>146</v>
      </c>
      <c r="J476" s="2">
        <v>6</v>
      </c>
      <c r="K476" s="2">
        <v>3500</v>
      </c>
      <c r="L476" s="2">
        <v>10</v>
      </c>
      <c r="M476" s="2">
        <v>18900</v>
      </c>
      <c r="N476" s="23">
        <f>(Table1[[#This Row],[Profit (PKR)]]/Table1[[#This Row],[Total Revenue (PKR)]])</f>
        <v>0.42857142857142855</v>
      </c>
      <c r="O476" s="2">
        <v>1800</v>
      </c>
      <c r="P476" s="2">
        <v>10800</v>
      </c>
      <c r="Q476" s="2">
        <v>8100</v>
      </c>
      <c r="R476" s="2" t="s">
        <v>22</v>
      </c>
      <c r="S476" s="2" t="str">
        <f>IF(AND(Table1[[#This Row],[Total Revenue (PKR)]]&gt;50000, Table1[[#This Row],[Discount %]]&lt;10),"High Value","Standard")</f>
        <v>Standard</v>
      </c>
      <c r="T476" s="2" t="s">
        <v>23</v>
      </c>
      <c r="U476" s="6" t="s">
        <v>44</v>
      </c>
      <c r="V476" s="19" t="s">
        <v>807</v>
      </c>
    </row>
    <row r="477" spans="1:22" x14ac:dyDescent="0.25">
      <c r="A477" s="5" t="s">
        <v>808</v>
      </c>
      <c r="B477" s="16">
        <f>DATEVALUE(Table1[[#This Row],[Date2]])</f>
        <v>45461</v>
      </c>
      <c r="C477" s="3" t="str">
        <f>TEXT(Table1[[#This Row],[Date]],"MMM")</f>
        <v>Jun</v>
      </c>
      <c r="D477" s="3" t="str">
        <f>"Q"&amp;ROUNDUP(MONTH(Table1[[#This Row],[Date]])/3,0)</f>
        <v>Q2</v>
      </c>
      <c r="E477" s="3">
        <f>YEAR(Table1[[#This Row],[Date]])</f>
        <v>2024</v>
      </c>
      <c r="F477" s="3" t="s">
        <v>18</v>
      </c>
      <c r="G477" s="3" t="s">
        <v>74</v>
      </c>
      <c r="H477" s="3" t="s">
        <v>93</v>
      </c>
      <c r="I477" s="3" t="s">
        <v>109</v>
      </c>
      <c r="J477" s="3">
        <v>7</v>
      </c>
      <c r="K477" s="3">
        <v>700</v>
      </c>
      <c r="L477" s="3">
        <v>20</v>
      </c>
      <c r="M477" s="3">
        <v>3920</v>
      </c>
      <c r="N477" s="24">
        <f>(Table1[[#This Row],[Profit (PKR)]]/Table1[[#This Row],[Total Revenue (PKR)]])</f>
        <v>0.10714285714285714</v>
      </c>
      <c r="O477" s="3">
        <v>500</v>
      </c>
      <c r="P477" s="3">
        <v>3500</v>
      </c>
      <c r="Q477" s="3">
        <v>420</v>
      </c>
      <c r="R477" s="3" t="s">
        <v>22</v>
      </c>
      <c r="S477" s="3" t="str">
        <f>IF(AND(Table1[[#This Row],[Total Revenue (PKR)]]&gt;50000, Table1[[#This Row],[Discount %]]&lt;10),"High Value","Standard")</f>
        <v>Standard</v>
      </c>
      <c r="T477" s="3" t="s">
        <v>23</v>
      </c>
      <c r="U477" s="7" t="s">
        <v>86</v>
      </c>
      <c r="V477" s="20" t="s">
        <v>627</v>
      </c>
    </row>
    <row r="478" spans="1:22" x14ac:dyDescent="0.25">
      <c r="A478" s="4" t="s">
        <v>809</v>
      </c>
      <c r="B478" s="15">
        <f>DATEVALUE(Table1[[#This Row],[Date2]])</f>
        <v>45303</v>
      </c>
      <c r="C478" s="2" t="str">
        <f>TEXT(Table1[[#This Row],[Date]],"MMM")</f>
        <v>Jan</v>
      </c>
      <c r="D478" s="2" t="str">
        <f>"Q"&amp;ROUNDUP(MONTH(Table1[[#This Row],[Date]])/3,0)</f>
        <v>Q1</v>
      </c>
      <c r="E478" s="2">
        <f>YEAR(Table1[[#This Row],[Date]])</f>
        <v>2024</v>
      </c>
      <c r="F478" s="2" t="s">
        <v>33</v>
      </c>
      <c r="G478" s="2" t="s">
        <v>19</v>
      </c>
      <c r="H478" s="2" t="s">
        <v>34</v>
      </c>
      <c r="I478" s="2" t="s">
        <v>89</v>
      </c>
      <c r="J478" s="2">
        <v>19</v>
      </c>
      <c r="K478" s="2">
        <v>4500</v>
      </c>
      <c r="L478" s="2">
        <v>5</v>
      </c>
      <c r="M478" s="2">
        <v>81225</v>
      </c>
      <c r="N478" s="23">
        <f>(Table1[[#This Row],[Profit (PKR)]]/Table1[[#This Row],[Total Revenue (PKR)]])</f>
        <v>0.41520467836257308</v>
      </c>
      <c r="O478" s="2">
        <v>2500</v>
      </c>
      <c r="P478" s="2">
        <v>47500</v>
      </c>
      <c r="Q478" s="2">
        <v>33725</v>
      </c>
      <c r="R478" s="2" t="s">
        <v>22</v>
      </c>
      <c r="S478" s="2" t="str">
        <f>IF(AND(Table1[[#This Row],[Total Revenue (PKR)]]&gt;50000, Table1[[#This Row],[Discount %]]&lt;10),"High Value","Standard")</f>
        <v>High Value</v>
      </c>
      <c r="T478" s="2" t="s">
        <v>23</v>
      </c>
      <c r="U478" s="6" t="s">
        <v>44</v>
      </c>
      <c r="V478" s="19" t="s">
        <v>810</v>
      </c>
    </row>
    <row r="479" spans="1:22" x14ac:dyDescent="0.25">
      <c r="A479" s="5" t="s">
        <v>811</v>
      </c>
      <c r="B479" s="16">
        <f>DATEVALUE(Table1[[#This Row],[Date2]])</f>
        <v>45585</v>
      </c>
      <c r="C479" s="3" t="str">
        <f>TEXT(Table1[[#This Row],[Date]],"MMM")</f>
        <v>Oct</v>
      </c>
      <c r="D479" s="3" t="str">
        <f>"Q"&amp;ROUNDUP(MONTH(Table1[[#This Row],[Date]])/3,0)</f>
        <v>Q4</v>
      </c>
      <c r="E479" s="3">
        <f>YEAR(Table1[[#This Row],[Date]])</f>
        <v>2024</v>
      </c>
      <c r="F479" s="3" t="s">
        <v>92</v>
      </c>
      <c r="G479" s="3" t="s">
        <v>19</v>
      </c>
      <c r="H479" s="3" t="s">
        <v>34</v>
      </c>
      <c r="I479" s="3" t="s">
        <v>41</v>
      </c>
      <c r="J479" s="3">
        <v>6</v>
      </c>
      <c r="K479" s="3">
        <v>3000</v>
      </c>
      <c r="L479" s="3">
        <v>20</v>
      </c>
      <c r="M479" s="3">
        <v>14400</v>
      </c>
      <c r="N479" s="24">
        <f>(Table1[[#This Row],[Profit (PKR)]]/Table1[[#This Row],[Total Revenue (PKR)]])</f>
        <v>0.375</v>
      </c>
      <c r="O479" s="3">
        <v>1500</v>
      </c>
      <c r="P479" s="3">
        <v>9000</v>
      </c>
      <c r="Q479" s="3">
        <v>5400</v>
      </c>
      <c r="R479" s="3" t="s">
        <v>42</v>
      </c>
      <c r="S479" s="3" t="str">
        <f>IF(AND(Table1[[#This Row],[Total Revenue (PKR)]]&gt;50000, Table1[[#This Row],[Discount %]]&lt;10),"High Value","Standard")</f>
        <v>Standard</v>
      </c>
      <c r="T479" s="3" t="s">
        <v>30</v>
      </c>
      <c r="U479" s="7" t="s">
        <v>95</v>
      </c>
      <c r="V479" s="20" t="s">
        <v>741</v>
      </c>
    </row>
    <row r="480" spans="1:22" x14ac:dyDescent="0.25">
      <c r="A480" s="4" t="s">
        <v>812</v>
      </c>
      <c r="B480" s="15">
        <f>DATEVALUE(Table1[[#This Row],[Date2]])</f>
        <v>45618</v>
      </c>
      <c r="C480" s="2" t="str">
        <f>TEXT(Table1[[#This Row],[Date]],"MMM")</f>
        <v>Nov</v>
      </c>
      <c r="D480" s="2" t="str">
        <f>"Q"&amp;ROUNDUP(MONTH(Table1[[#This Row],[Date]])/3,0)</f>
        <v>Q4</v>
      </c>
      <c r="E480" s="2">
        <f>YEAR(Table1[[#This Row],[Date]])</f>
        <v>2024</v>
      </c>
      <c r="F480" s="2" t="s">
        <v>104</v>
      </c>
      <c r="G480" s="2" t="s">
        <v>48</v>
      </c>
      <c r="H480" s="2" t="s">
        <v>28</v>
      </c>
      <c r="I480" s="2" t="s">
        <v>116</v>
      </c>
      <c r="J480" s="2">
        <v>15</v>
      </c>
      <c r="K480" s="2">
        <v>85000</v>
      </c>
      <c r="L480" s="2">
        <v>20</v>
      </c>
      <c r="M480" s="2">
        <v>1020000</v>
      </c>
      <c r="N480" s="23">
        <f>(Table1[[#This Row],[Profit (PKR)]]/Table1[[#This Row],[Total Revenue (PKR)]])</f>
        <v>4.4117647058823532E-2</v>
      </c>
      <c r="O480" s="2">
        <v>65000</v>
      </c>
      <c r="P480" s="2">
        <v>975000</v>
      </c>
      <c r="Q480" s="2">
        <v>45000</v>
      </c>
      <c r="R480" s="2" t="s">
        <v>42</v>
      </c>
      <c r="S480" s="2" t="str">
        <f>IF(AND(Table1[[#This Row],[Total Revenue (PKR)]]&gt;50000, Table1[[#This Row],[Discount %]]&lt;10),"High Value","Standard")</f>
        <v>Standard</v>
      </c>
      <c r="T480" s="2" t="s">
        <v>66</v>
      </c>
      <c r="U480" s="6" t="s">
        <v>44</v>
      </c>
      <c r="V480" s="19" t="s">
        <v>744</v>
      </c>
    </row>
    <row r="481" spans="1:22" x14ac:dyDescent="0.25">
      <c r="A481" s="5" t="s">
        <v>813</v>
      </c>
      <c r="B481" s="16">
        <f>DATEVALUE(Table1[[#This Row],[Date2]])</f>
        <v>45502</v>
      </c>
      <c r="C481" s="3" t="str">
        <f>TEXT(Table1[[#This Row],[Date]],"MMM")</f>
        <v>Jul</v>
      </c>
      <c r="D481" s="3" t="str">
        <f>"Q"&amp;ROUNDUP(MONTH(Table1[[#This Row],[Date]])/3,0)</f>
        <v>Q3</v>
      </c>
      <c r="E481" s="3">
        <f>YEAR(Table1[[#This Row],[Date]])</f>
        <v>2024</v>
      </c>
      <c r="F481" s="3" t="s">
        <v>47</v>
      </c>
      <c r="G481" s="3" t="s">
        <v>40</v>
      </c>
      <c r="H481" s="3" t="s">
        <v>53</v>
      </c>
      <c r="I481" s="3" t="s">
        <v>54</v>
      </c>
      <c r="J481" s="3">
        <v>20</v>
      </c>
      <c r="K481" s="3">
        <v>2000</v>
      </c>
      <c r="L481" s="3">
        <v>25</v>
      </c>
      <c r="M481" s="3">
        <v>30000</v>
      </c>
      <c r="N481" s="24">
        <f>(Table1[[#This Row],[Profit (PKR)]]/Table1[[#This Row],[Total Revenue (PKR)]])</f>
        <v>0.2</v>
      </c>
      <c r="O481" s="3">
        <v>1200</v>
      </c>
      <c r="P481" s="3">
        <v>24000</v>
      </c>
      <c r="Q481" s="3">
        <v>6000</v>
      </c>
      <c r="R481" s="3" t="s">
        <v>42</v>
      </c>
      <c r="S481" s="3" t="str">
        <f>IF(AND(Table1[[#This Row],[Total Revenue (PKR)]]&gt;50000, Table1[[#This Row],[Discount %]]&lt;10),"High Value","Standard")</f>
        <v>Standard</v>
      </c>
      <c r="T481" s="3" t="s">
        <v>36</v>
      </c>
      <c r="U481" s="7" t="s">
        <v>24</v>
      </c>
      <c r="V481" s="20" t="s">
        <v>263</v>
      </c>
    </row>
    <row r="482" spans="1:22" x14ac:dyDescent="0.25">
      <c r="A482" s="4" t="s">
        <v>814</v>
      </c>
      <c r="B482" s="15">
        <f>DATEVALUE(Table1[[#This Row],[Date2]])</f>
        <v>45467</v>
      </c>
      <c r="C482" s="2" t="str">
        <f>TEXT(Table1[[#This Row],[Date]],"MMM")</f>
        <v>Jun</v>
      </c>
      <c r="D482" s="2" t="str">
        <f>"Q"&amp;ROUNDUP(MONTH(Table1[[#This Row],[Date]])/3,0)</f>
        <v>Q2</v>
      </c>
      <c r="E482" s="2">
        <f>YEAR(Table1[[#This Row],[Date]])</f>
        <v>2024</v>
      </c>
      <c r="F482" s="2" t="s">
        <v>122</v>
      </c>
      <c r="G482" s="2" t="s">
        <v>159</v>
      </c>
      <c r="H482" s="2" t="s">
        <v>34</v>
      </c>
      <c r="I482" s="2" t="s">
        <v>35</v>
      </c>
      <c r="J482" s="2">
        <v>13</v>
      </c>
      <c r="K482" s="2">
        <v>6000</v>
      </c>
      <c r="L482" s="2">
        <v>5</v>
      </c>
      <c r="M482" s="2">
        <v>74100</v>
      </c>
      <c r="N482" s="23">
        <f>(Table1[[#This Row],[Profit (PKR)]]/Table1[[#This Row],[Total Revenue (PKR)]])</f>
        <v>0.38596491228070173</v>
      </c>
      <c r="O482" s="2">
        <v>3500</v>
      </c>
      <c r="P482" s="2">
        <v>45500</v>
      </c>
      <c r="Q482" s="2">
        <v>28600</v>
      </c>
      <c r="R482" s="2" t="s">
        <v>22</v>
      </c>
      <c r="S482" s="2" t="str">
        <f>IF(AND(Table1[[#This Row],[Total Revenue (PKR)]]&gt;50000, Table1[[#This Row],[Discount %]]&lt;10),"High Value","Standard")</f>
        <v>High Value</v>
      </c>
      <c r="T482" s="2" t="s">
        <v>43</v>
      </c>
      <c r="U482" s="6" t="s">
        <v>44</v>
      </c>
      <c r="V482" s="19" t="s">
        <v>351</v>
      </c>
    </row>
    <row r="483" spans="1:22" x14ac:dyDescent="0.25">
      <c r="A483" s="5" t="s">
        <v>815</v>
      </c>
      <c r="B483" s="16">
        <f>DATEVALUE(Table1[[#This Row],[Date2]])</f>
        <v>45550</v>
      </c>
      <c r="C483" s="3" t="str">
        <f>TEXT(Table1[[#This Row],[Date]],"MMM")</f>
        <v>Sep</v>
      </c>
      <c r="D483" s="3" t="str">
        <f>"Q"&amp;ROUNDUP(MONTH(Table1[[#This Row],[Date]])/3,0)</f>
        <v>Q3</v>
      </c>
      <c r="E483" s="3">
        <f>YEAR(Table1[[#This Row],[Date]])</f>
        <v>2024</v>
      </c>
      <c r="F483" s="3" t="s">
        <v>77</v>
      </c>
      <c r="G483" s="3" t="s">
        <v>40</v>
      </c>
      <c r="H483" s="3" t="s">
        <v>53</v>
      </c>
      <c r="I483" s="3" t="s">
        <v>82</v>
      </c>
      <c r="J483" s="3">
        <v>6</v>
      </c>
      <c r="K483" s="3">
        <v>4000</v>
      </c>
      <c r="L483" s="3">
        <v>15</v>
      </c>
      <c r="M483" s="3">
        <v>20400</v>
      </c>
      <c r="N483" s="24">
        <f>(Table1[[#This Row],[Profit (PKR)]]/Table1[[#This Row],[Total Revenue (PKR)]])</f>
        <v>0.26470588235294118</v>
      </c>
      <c r="O483" s="3">
        <v>2500</v>
      </c>
      <c r="P483" s="3">
        <v>15000</v>
      </c>
      <c r="Q483" s="3">
        <v>5400</v>
      </c>
      <c r="R483" s="3" t="s">
        <v>22</v>
      </c>
      <c r="S483" s="3" t="str">
        <f>IF(AND(Table1[[#This Row],[Total Revenue (PKR)]]&gt;50000, Table1[[#This Row],[Discount %]]&lt;10),"High Value","Standard")</f>
        <v>Standard</v>
      </c>
      <c r="T483" s="3" t="s">
        <v>30</v>
      </c>
      <c r="U483" s="7" t="s">
        <v>44</v>
      </c>
      <c r="V483" s="20" t="s">
        <v>751</v>
      </c>
    </row>
    <row r="484" spans="1:22" x14ac:dyDescent="0.25">
      <c r="A484" s="4" t="s">
        <v>816</v>
      </c>
      <c r="B484" s="15">
        <f>DATEVALUE(Table1[[#This Row],[Date2]])</f>
        <v>45352</v>
      </c>
      <c r="C484" s="2" t="str">
        <f>TEXT(Table1[[#This Row],[Date]],"MMM")</f>
        <v>Mar</v>
      </c>
      <c r="D484" s="2" t="str">
        <f>"Q"&amp;ROUNDUP(MONTH(Table1[[#This Row],[Date]])/3,0)</f>
        <v>Q1</v>
      </c>
      <c r="E484" s="2">
        <f>YEAR(Table1[[#This Row],[Date]])</f>
        <v>2024</v>
      </c>
      <c r="F484" s="2" t="s">
        <v>18</v>
      </c>
      <c r="G484" s="2" t="s">
        <v>74</v>
      </c>
      <c r="H484" s="2" t="s">
        <v>34</v>
      </c>
      <c r="I484" s="2" t="s">
        <v>89</v>
      </c>
      <c r="J484" s="2">
        <v>18</v>
      </c>
      <c r="K484" s="2">
        <v>4500</v>
      </c>
      <c r="L484" s="2">
        <v>0</v>
      </c>
      <c r="M484" s="2">
        <v>81000</v>
      </c>
      <c r="N484" s="23">
        <f>(Table1[[#This Row],[Profit (PKR)]]/Table1[[#This Row],[Total Revenue (PKR)]])</f>
        <v>0.44444444444444442</v>
      </c>
      <c r="O484" s="2">
        <v>2500</v>
      </c>
      <c r="P484" s="2">
        <v>45000</v>
      </c>
      <c r="Q484" s="2">
        <v>36000</v>
      </c>
      <c r="R484" s="2" t="s">
        <v>42</v>
      </c>
      <c r="S484" s="2" t="str">
        <f>IF(AND(Table1[[#This Row],[Total Revenue (PKR)]]&gt;50000, Table1[[#This Row],[Discount %]]&lt;10),"High Value","Standard")</f>
        <v>High Value</v>
      </c>
      <c r="T484" s="2" t="s">
        <v>30</v>
      </c>
      <c r="U484" s="6" t="s">
        <v>44</v>
      </c>
      <c r="V484" s="19" t="s">
        <v>817</v>
      </c>
    </row>
    <row r="485" spans="1:22" x14ac:dyDescent="0.25">
      <c r="A485" s="5" t="s">
        <v>818</v>
      </c>
      <c r="B485" s="16">
        <f>DATEVALUE(Table1[[#This Row],[Date2]])</f>
        <v>45314</v>
      </c>
      <c r="C485" s="3" t="str">
        <f>TEXT(Table1[[#This Row],[Date]],"MMM")</f>
        <v>Jan</v>
      </c>
      <c r="D485" s="3" t="str">
        <f>"Q"&amp;ROUNDUP(MONTH(Table1[[#This Row],[Date]])/3,0)</f>
        <v>Q1</v>
      </c>
      <c r="E485" s="3">
        <f>YEAR(Table1[[#This Row],[Date]])</f>
        <v>2024</v>
      </c>
      <c r="F485" s="3" t="s">
        <v>63</v>
      </c>
      <c r="G485" s="3" t="s">
        <v>27</v>
      </c>
      <c r="H485" s="3" t="s">
        <v>34</v>
      </c>
      <c r="I485" s="3" t="s">
        <v>35</v>
      </c>
      <c r="J485" s="3">
        <v>13</v>
      </c>
      <c r="K485" s="3">
        <v>6000</v>
      </c>
      <c r="L485" s="3">
        <v>10</v>
      </c>
      <c r="M485" s="3">
        <v>70200</v>
      </c>
      <c r="N485" s="24">
        <f>(Table1[[#This Row],[Profit (PKR)]]/Table1[[#This Row],[Total Revenue (PKR)]])</f>
        <v>0.35185185185185186</v>
      </c>
      <c r="O485" s="3">
        <v>3500</v>
      </c>
      <c r="P485" s="3">
        <v>45500</v>
      </c>
      <c r="Q485" s="3">
        <v>24700</v>
      </c>
      <c r="R485" s="3" t="s">
        <v>22</v>
      </c>
      <c r="S485" s="3" t="str">
        <f>IF(AND(Table1[[#This Row],[Total Revenue (PKR)]]&gt;50000, Table1[[#This Row],[Discount %]]&lt;10),"High Value","Standard")</f>
        <v>Standard</v>
      </c>
      <c r="T485" s="3" t="s">
        <v>66</v>
      </c>
      <c r="U485" s="7" t="s">
        <v>44</v>
      </c>
      <c r="V485" s="20" t="s">
        <v>819</v>
      </c>
    </row>
    <row r="486" spans="1:22" x14ac:dyDescent="0.25">
      <c r="A486" s="4" t="s">
        <v>820</v>
      </c>
      <c r="B486" s="15">
        <f>DATEVALUE(Table1[[#This Row],[Date2]])</f>
        <v>45536</v>
      </c>
      <c r="C486" s="2" t="str">
        <f>TEXT(Table1[[#This Row],[Date]],"MMM")</f>
        <v>Sep</v>
      </c>
      <c r="D486" s="2" t="str">
        <f>"Q"&amp;ROUNDUP(MONTH(Table1[[#This Row],[Date]])/3,0)</f>
        <v>Q3</v>
      </c>
      <c r="E486" s="2">
        <f>YEAR(Table1[[#This Row],[Date]])</f>
        <v>2024</v>
      </c>
      <c r="F486" s="2" t="s">
        <v>33</v>
      </c>
      <c r="G486" s="2" t="s">
        <v>159</v>
      </c>
      <c r="H486" s="2" t="s">
        <v>20</v>
      </c>
      <c r="I486" s="2" t="s">
        <v>137</v>
      </c>
      <c r="J486" s="2">
        <v>18</v>
      </c>
      <c r="K486" s="2">
        <v>15000</v>
      </c>
      <c r="L486" s="2">
        <v>15</v>
      </c>
      <c r="M486" s="2">
        <v>229500</v>
      </c>
      <c r="N486" s="23">
        <f>(Table1[[#This Row],[Profit (PKR)]]/Table1[[#This Row],[Total Revenue (PKR)]])</f>
        <v>0.21568627450980393</v>
      </c>
      <c r="O486" s="2">
        <v>10000</v>
      </c>
      <c r="P486" s="2">
        <v>180000</v>
      </c>
      <c r="Q486" s="2">
        <v>49500</v>
      </c>
      <c r="R486" s="2" t="s">
        <v>42</v>
      </c>
      <c r="S486" s="2" t="str">
        <f>IF(AND(Table1[[#This Row],[Total Revenue (PKR)]]&gt;50000, Table1[[#This Row],[Discount %]]&lt;10),"High Value","Standard")</f>
        <v>Standard</v>
      </c>
      <c r="T486" s="2" t="s">
        <v>36</v>
      </c>
      <c r="U486" s="6" t="s">
        <v>44</v>
      </c>
      <c r="V486" s="19" t="s">
        <v>821</v>
      </c>
    </row>
    <row r="487" spans="1:22" x14ac:dyDescent="0.25">
      <c r="A487" s="5" t="s">
        <v>822</v>
      </c>
      <c r="B487" s="16">
        <f>DATEVALUE(Table1[[#This Row],[Date2]])</f>
        <v>45295</v>
      </c>
      <c r="C487" s="3" t="str">
        <f>TEXT(Table1[[#This Row],[Date]],"MMM")</f>
        <v>Jan</v>
      </c>
      <c r="D487" s="3" t="str">
        <f>"Q"&amp;ROUNDUP(MONTH(Table1[[#This Row],[Date]])/3,0)</f>
        <v>Q1</v>
      </c>
      <c r="E487" s="3">
        <f>YEAR(Table1[[#This Row],[Date]])</f>
        <v>2024</v>
      </c>
      <c r="F487" s="3" t="s">
        <v>47</v>
      </c>
      <c r="G487" s="3" t="s">
        <v>159</v>
      </c>
      <c r="H487" s="3" t="s">
        <v>53</v>
      </c>
      <c r="I487" s="3" t="s">
        <v>82</v>
      </c>
      <c r="J487" s="3">
        <v>13</v>
      </c>
      <c r="K487" s="3">
        <v>4000</v>
      </c>
      <c r="L487" s="3">
        <v>25</v>
      </c>
      <c r="M487" s="3">
        <v>39000</v>
      </c>
      <c r="N487" s="24">
        <f>(Table1[[#This Row],[Profit (PKR)]]/Table1[[#This Row],[Total Revenue (PKR)]])</f>
        <v>0.16666666666666666</v>
      </c>
      <c r="O487" s="3">
        <v>2500</v>
      </c>
      <c r="P487" s="3">
        <v>32500</v>
      </c>
      <c r="Q487" s="3">
        <v>6500</v>
      </c>
      <c r="R487" s="3" t="s">
        <v>22</v>
      </c>
      <c r="S487" s="3" t="str">
        <f>IF(AND(Table1[[#This Row],[Total Revenue (PKR)]]&gt;50000, Table1[[#This Row],[Discount %]]&lt;10),"High Value","Standard")</f>
        <v>Standard</v>
      </c>
      <c r="T487" s="3" t="s">
        <v>23</v>
      </c>
      <c r="U487" s="7" t="s">
        <v>86</v>
      </c>
      <c r="V487" s="20" t="s">
        <v>823</v>
      </c>
    </row>
    <row r="488" spans="1:22" x14ac:dyDescent="0.25">
      <c r="A488" s="4" t="s">
        <v>824</v>
      </c>
      <c r="B488" s="15">
        <f>DATEVALUE(Table1[[#This Row],[Date2]])</f>
        <v>45501</v>
      </c>
      <c r="C488" s="2" t="str">
        <f>TEXT(Table1[[#This Row],[Date]],"MMM")</f>
        <v>Jul</v>
      </c>
      <c r="D488" s="2" t="str">
        <f>"Q"&amp;ROUNDUP(MONTH(Table1[[#This Row],[Date]])/3,0)</f>
        <v>Q3</v>
      </c>
      <c r="E488" s="2">
        <f>YEAR(Table1[[#This Row],[Date]])</f>
        <v>2024</v>
      </c>
      <c r="F488" s="2" t="s">
        <v>100</v>
      </c>
      <c r="G488" s="2" t="s">
        <v>159</v>
      </c>
      <c r="H488" s="2" t="s">
        <v>34</v>
      </c>
      <c r="I488" s="2" t="s">
        <v>35</v>
      </c>
      <c r="J488" s="2">
        <v>19</v>
      </c>
      <c r="K488" s="2">
        <v>6000</v>
      </c>
      <c r="L488" s="2">
        <v>10</v>
      </c>
      <c r="M488" s="2">
        <v>102600</v>
      </c>
      <c r="N488" s="23">
        <f>(Table1[[#This Row],[Profit (PKR)]]/Table1[[#This Row],[Total Revenue (PKR)]])</f>
        <v>0.35185185185185186</v>
      </c>
      <c r="O488" s="2">
        <v>3500</v>
      </c>
      <c r="P488" s="2">
        <v>66500</v>
      </c>
      <c r="Q488" s="2">
        <v>36100</v>
      </c>
      <c r="R488" s="2" t="s">
        <v>42</v>
      </c>
      <c r="S488" s="2" t="str">
        <f>IF(AND(Table1[[#This Row],[Total Revenue (PKR)]]&gt;50000, Table1[[#This Row],[Discount %]]&lt;10),"High Value","Standard")</f>
        <v>Standard</v>
      </c>
      <c r="T488" s="2" t="s">
        <v>30</v>
      </c>
      <c r="U488" s="6" t="s">
        <v>44</v>
      </c>
      <c r="V488" s="19" t="s">
        <v>267</v>
      </c>
    </row>
    <row r="489" spans="1:22" x14ac:dyDescent="0.25">
      <c r="A489" s="5" t="s">
        <v>825</v>
      </c>
      <c r="B489" s="16">
        <f>DATEVALUE(Table1[[#This Row],[Date2]])</f>
        <v>45479</v>
      </c>
      <c r="C489" s="3" t="str">
        <f>TEXT(Table1[[#This Row],[Date]],"MMM")</f>
        <v>Jul</v>
      </c>
      <c r="D489" s="3" t="str">
        <f>"Q"&amp;ROUNDUP(MONTH(Table1[[#This Row],[Date]])/3,0)</f>
        <v>Q3</v>
      </c>
      <c r="E489" s="3">
        <f>YEAR(Table1[[#This Row],[Date]])</f>
        <v>2024</v>
      </c>
      <c r="F489" s="3" t="s">
        <v>47</v>
      </c>
      <c r="G489" s="3" t="s">
        <v>48</v>
      </c>
      <c r="H489" s="3" t="s">
        <v>93</v>
      </c>
      <c r="I489" s="3" t="s">
        <v>188</v>
      </c>
      <c r="J489" s="3">
        <v>14</v>
      </c>
      <c r="K489" s="3">
        <v>1500</v>
      </c>
      <c r="L489" s="3">
        <v>20</v>
      </c>
      <c r="M489" s="3">
        <v>16800</v>
      </c>
      <c r="N489" s="24">
        <f>(Table1[[#This Row],[Profit (PKR)]]/Table1[[#This Row],[Total Revenue (PKR)]])</f>
        <v>8.3333333333333329E-2</v>
      </c>
      <c r="O489" s="3">
        <v>1100</v>
      </c>
      <c r="P489" s="3">
        <v>15400</v>
      </c>
      <c r="Q489" s="3">
        <v>1400</v>
      </c>
      <c r="R489" s="3" t="s">
        <v>42</v>
      </c>
      <c r="S489" s="3" t="str">
        <f>IF(AND(Table1[[#This Row],[Total Revenue (PKR)]]&gt;50000, Table1[[#This Row],[Discount %]]&lt;10),"High Value","Standard")</f>
        <v>Standard</v>
      </c>
      <c r="T489" s="3" t="s">
        <v>36</v>
      </c>
      <c r="U489" s="7" t="s">
        <v>44</v>
      </c>
      <c r="V489" s="20" t="s">
        <v>797</v>
      </c>
    </row>
    <row r="490" spans="1:22" x14ac:dyDescent="0.25">
      <c r="A490" s="4" t="s">
        <v>826</v>
      </c>
      <c r="B490" s="15">
        <f>DATEVALUE(Table1[[#This Row],[Date2]])</f>
        <v>45576</v>
      </c>
      <c r="C490" s="2" t="str">
        <f>TEXT(Table1[[#This Row],[Date]],"MMM")</f>
        <v>Oct</v>
      </c>
      <c r="D490" s="2" t="str">
        <f>"Q"&amp;ROUNDUP(MONTH(Table1[[#This Row],[Date]])/3,0)</f>
        <v>Q4</v>
      </c>
      <c r="E490" s="2">
        <f>YEAR(Table1[[#This Row],[Date]])</f>
        <v>2024</v>
      </c>
      <c r="F490" s="2" t="s">
        <v>122</v>
      </c>
      <c r="G490" s="2" t="s">
        <v>48</v>
      </c>
      <c r="H490" s="2" t="s">
        <v>20</v>
      </c>
      <c r="I490" s="2" t="s">
        <v>137</v>
      </c>
      <c r="J490" s="2">
        <v>12</v>
      </c>
      <c r="K490" s="2">
        <v>15000</v>
      </c>
      <c r="L490" s="2">
        <v>25</v>
      </c>
      <c r="M490" s="2">
        <v>135000</v>
      </c>
      <c r="N490" s="23">
        <f>(Table1[[#This Row],[Profit (PKR)]]/Table1[[#This Row],[Total Revenue (PKR)]])</f>
        <v>0.1111111111111111</v>
      </c>
      <c r="O490" s="2">
        <v>10000</v>
      </c>
      <c r="P490" s="2">
        <v>120000</v>
      </c>
      <c r="Q490" s="2">
        <v>15000</v>
      </c>
      <c r="R490" s="2" t="s">
        <v>42</v>
      </c>
      <c r="S490" s="2" t="str">
        <f>IF(AND(Table1[[#This Row],[Total Revenue (PKR)]]&gt;50000, Table1[[#This Row],[Discount %]]&lt;10),"High Value","Standard")</f>
        <v>Standard</v>
      </c>
      <c r="T490" s="2" t="s">
        <v>23</v>
      </c>
      <c r="U490" s="6" t="s">
        <v>44</v>
      </c>
      <c r="V490" s="19" t="s">
        <v>121</v>
      </c>
    </row>
    <row r="491" spans="1:22" x14ac:dyDescent="0.25">
      <c r="A491" s="5" t="s">
        <v>827</v>
      </c>
      <c r="B491" s="16">
        <f>DATEVALUE(Table1[[#This Row],[Date2]])</f>
        <v>45629</v>
      </c>
      <c r="C491" s="3" t="str">
        <f>TEXT(Table1[[#This Row],[Date]],"MMM")</f>
        <v>Dec</v>
      </c>
      <c r="D491" s="3" t="str">
        <f>"Q"&amp;ROUNDUP(MONTH(Table1[[#This Row],[Date]])/3,0)</f>
        <v>Q4</v>
      </c>
      <c r="E491" s="3">
        <f>YEAR(Table1[[#This Row],[Date]])</f>
        <v>2024</v>
      </c>
      <c r="F491" s="3" t="s">
        <v>18</v>
      </c>
      <c r="G491" s="3" t="s">
        <v>64</v>
      </c>
      <c r="H491" s="3" t="s">
        <v>93</v>
      </c>
      <c r="I491" s="3" t="s">
        <v>188</v>
      </c>
      <c r="J491" s="3">
        <v>4</v>
      </c>
      <c r="K491" s="3">
        <v>1500</v>
      </c>
      <c r="L491" s="3">
        <v>5</v>
      </c>
      <c r="M491" s="3">
        <v>5700</v>
      </c>
      <c r="N491" s="24">
        <f>(Table1[[#This Row],[Profit (PKR)]]/Table1[[#This Row],[Total Revenue (PKR)]])</f>
        <v>0.22807017543859648</v>
      </c>
      <c r="O491" s="3">
        <v>1100</v>
      </c>
      <c r="P491" s="3">
        <v>4400</v>
      </c>
      <c r="Q491" s="3">
        <v>1300</v>
      </c>
      <c r="R491" s="3" t="s">
        <v>42</v>
      </c>
      <c r="S491" s="3" t="str">
        <f>IF(AND(Table1[[#This Row],[Total Revenue (PKR)]]&gt;50000, Table1[[#This Row],[Discount %]]&lt;10),"High Value","Standard")</f>
        <v>Standard</v>
      </c>
      <c r="T491" s="3" t="s">
        <v>55</v>
      </c>
      <c r="U491" s="7" t="s">
        <v>86</v>
      </c>
      <c r="V491" s="20" t="s">
        <v>801</v>
      </c>
    </row>
    <row r="492" spans="1:22" x14ac:dyDescent="0.25">
      <c r="A492" s="4" t="s">
        <v>828</v>
      </c>
      <c r="B492" s="15">
        <f>DATEVALUE(Table1[[#This Row],[Date2]])</f>
        <v>45606</v>
      </c>
      <c r="C492" s="2" t="str">
        <f>TEXT(Table1[[#This Row],[Date]],"MMM")</f>
        <v>Nov</v>
      </c>
      <c r="D492" s="2" t="str">
        <f>"Q"&amp;ROUNDUP(MONTH(Table1[[#This Row],[Date]])/3,0)</f>
        <v>Q4</v>
      </c>
      <c r="E492" s="2">
        <f>YEAR(Table1[[#This Row],[Date]])</f>
        <v>2024</v>
      </c>
      <c r="F492" s="2" t="s">
        <v>104</v>
      </c>
      <c r="G492" s="2" t="s">
        <v>40</v>
      </c>
      <c r="H492" s="2" t="s">
        <v>93</v>
      </c>
      <c r="I492" s="2" t="s">
        <v>119</v>
      </c>
      <c r="J492" s="2">
        <v>3</v>
      </c>
      <c r="K492" s="2">
        <v>800</v>
      </c>
      <c r="L492" s="2">
        <v>5</v>
      </c>
      <c r="M492" s="2">
        <v>2280</v>
      </c>
      <c r="N492" s="23">
        <f>(Table1[[#This Row],[Profit (PKR)]]/Table1[[#This Row],[Total Revenue (PKR)]])</f>
        <v>0.21052631578947367</v>
      </c>
      <c r="O492" s="2">
        <v>600</v>
      </c>
      <c r="P492" s="2">
        <v>1800</v>
      </c>
      <c r="Q492" s="2">
        <v>480</v>
      </c>
      <c r="R492" s="2" t="s">
        <v>42</v>
      </c>
      <c r="S492" s="2" t="str">
        <f>IF(AND(Table1[[#This Row],[Total Revenue (PKR)]]&gt;50000, Table1[[#This Row],[Discount %]]&lt;10),"High Value","Standard")</f>
        <v>Standard</v>
      </c>
      <c r="T492" s="2" t="s">
        <v>30</v>
      </c>
      <c r="U492" s="6" t="s">
        <v>44</v>
      </c>
      <c r="V492" s="19" t="s">
        <v>308</v>
      </c>
    </row>
    <row r="493" spans="1:22" x14ac:dyDescent="0.25">
      <c r="A493" s="5" t="s">
        <v>829</v>
      </c>
      <c r="B493" s="16">
        <f>DATEVALUE(Table1[[#This Row],[Date2]])</f>
        <v>45324</v>
      </c>
      <c r="C493" s="3" t="str">
        <f>TEXT(Table1[[#This Row],[Date]],"MMM")</f>
        <v>Feb</v>
      </c>
      <c r="D493" s="3" t="str">
        <f>"Q"&amp;ROUNDUP(MONTH(Table1[[#This Row],[Date]])/3,0)</f>
        <v>Q1</v>
      </c>
      <c r="E493" s="3">
        <f>YEAR(Table1[[#This Row],[Date]])</f>
        <v>2024</v>
      </c>
      <c r="F493" s="3" t="s">
        <v>39</v>
      </c>
      <c r="G493" s="3" t="s">
        <v>64</v>
      </c>
      <c r="H493" s="3" t="s">
        <v>20</v>
      </c>
      <c r="I493" s="3" t="s">
        <v>65</v>
      </c>
      <c r="J493" s="3">
        <v>20</v>
      </c>
      <c r="K493" s="3">
        <v>18000</v>
      </c>
      <c r="L493" s="3">
        <v>0</v>
      </c>
      <c r="M493" s="3">
        <v>360000</v>
      </c>
      <c r="N493" s="24">
        <f>(Table1[[#This Row],[Profit (PKR)]]/Table1[[#This Row],[Total Revenue (PKR)]])</f>
        <v>0.33333333333333331</v>
      </c>
      <c r="O493" s="3">
        <v>12000</v>
      </c>
      <c r="P493" s="3">
        <v>240000</v>
      </c>
      <c r="Q493" s="3">
        <v>120000</v>
      </c>
      <c r="R493" s="3" t="s">
        <v>42</v>
      </c>
      <c r="S493" s="3" t="str">
        <f>IF(AND(Table1[[#This Row],[Total Revenue (PKR)]]&gt;50000, Table1[[#This Row],[Discount %]]&lt;10),"High Value","Standard")</f>
        <v>High Value</v>
      </c>
      <c r="T493" s="3" t="s">
        <v>66</v>
      </c>
      <c r="U493" s="7" t="s">
        <v>24</v>
      </c>
      <c r="V493" s="20" t="s">
        <v>76</v>
      </c>
    </row>
    <row r="494" spans="1:22" x14ac:dyDescent="0.25">
      <c r="A494" s="4" t="s">
        <v>830</v>
      </c>
      <c r="B494" s="15">
        <f>DATEVALUE(Table1[[#This Row],[Date2]])</f>
        <v>45558</v>
      </c>
      <c r="C494" s="2" t="str">
        <f>TEXT(Table1[[#This Row],[Date]],"MMM")</f>
        <v>Sep</v>
      </c>
      <c r="D494" s="2" t="str">
        <f>"Q"&amp;ROUNDUP(MONTH(Table1[[#This Row],[Date]])/3,0)</f>
        <v>Q3</v>
      </c>
      <c r="E494" s="2">
        <f>YEAR(Table1[[#This Row],[Date]])</f>
        <v>2024</v>
      </c>
      <c r="F494" s="2" t="s">
        <v>39</v>
      </c>
      <c r="G494" s="2" t="s">
        <v>19</v>
      </c>
      <c r="H494" s="2" t="s">
        <v>34</v>
      </c>
      <c r="I494" s="2" t="s">
        <v>35</v>
      </c>
      <c r="J494" s="2">
        <v>15</v>
      </c>
      <c r="K494" s="2">
        <v>6000</v>
      </c>
      <c r="L494" s="2">
        <v>0</v>
      </c>
      <c r="M494" s="2">
        <v>90000</v>
      </c>
      <c r="N494" s="23">
        <f>(Table1[[#This Row],[Profit (PKR)]]/Table1[[#This Row],[Total Revenue (PKR)]])</f>
        <v>0.41666666666666669</v>
      </c>
      <c r="O494" s="2">
        <v>3500</v>
      </c>
      <c r="P494" s="2">
        <v>52500</v>
      </c>
      <c r="Q494" s="2">
        <v>37500</v>
      </c>
      <c r="R494" s="2" t="s">
        <v>22</v>
      </c>
      <c r="S494" s="2" t="str">
        <f>IF(AND(Table1[[#This Row],[Total Revenue (PKR)]]&gt;50000, Table1[[#This Row],[Discount %]]&lt;10),"High Value","Standard")</f>
        <v>High Value</v>
      </c>
      <c r="T494" s="2" t="s">
        <v>23</v>
      </c>
      <c r="U494" s="6" t="s">
        <v>95</v>
      </c>
      <c r="V494" s="19" t="s">
        <v>161</v>
      </c>
    </row>
    <row r="495" spans="1:22" x14ac:dyDescent="0.25">
      <c r="A495" s="5" t="s">
        <v>831</v>
      </c>
      <c r="B495" s="16">
        <f>DATEVALUE(Table1[[#This Row],[Date2]])</f>
        <v>45557</v>
      </c>
      <c r="C495" s="3" t="str">
        <f>TEXT(Table1[[#This Row],[Date]],"MMM")</f>
        <v>Sep</v>
      </c>
      <c r="D495" s="3" t="str">
        <f>"Q"&amp;ROUNDUP(MONTH(Table1[[#This Row],[Date]])/3,0)</f>
        <v>Q3</v>
      </c>
      <c r="E495" s="3">
        <f>YEAR(Table1[[#This Row],[Date]])</f>
        <v>2024</v>
      </c>
      <c r="F495" s="3" t="s">
        <v>39</v>
      </c>
      <c r="G495" s="3" t="s">
        <v>64</v>
      </c>
      <c r="H495" s="3" t="s">
        <v>28</v>
      </c>
      <c r="I495" s="3" t="s">
        <v>127</v>
      </c>
      <c r="J495" s="3">
        <v>17</v>
      </c>
      <c r="K495" s="3">
        <v>15000</v>
      </c>
      <c r="L495" s="3">
        <v>20</v>
      </c>
      <c r="M495" s="3">
        <v>204000</v>
      </c>
      <c r="N495" s="24">
        <f>(Table1[[#This Row],[Profit (PKR)]]/Table1[[#This Row],[Total Revenue (PKR)]])</f>
        <v>0.16666666666666666</v>
      </c>
      <c r="O495" s="3">
        <v>10000</v>
      </c>
      <c r="P495" s="3">
        <v>170000</v>
      </c>
      <c r="Q495" s="3">
        <v>34000</v>
      </c>
      <c r="R495" s="3" t="s">
        <v>22</v>
      </c>
      <c r="S495" s="3" t="str">
        <f>IF(AND(Table1[[#This Row],[Total Revenue (PKR)]]&gt;50000, Table1[[#This Row],[Discount %]]&lt;10),"High Value","Standard")</f>
        <v>Standard</v>
      </c>
      <c r="T495" s="3" t="s">
        <v>30</v>
      </c>
      <c r="U495" s="7" t="s">
        <v>44</v>
      </c>
      <c r="V495" s="20" t="s">
        <v>414</v>
      </c>
    </row>
    <row r="496" spans="1:22" x14ac:dyDescent="0.25">
      <c r="A496" s="4" t="s">
        <v>832</v>
      </c>
      <c r="B496" s="15">
        <f>DATEVALUE(Table1[[#This Row],[Date2]])</f>
        <v>45310</v>
      </c>
      <c r="C496" s="2" t="str">
        <f>TEXT(Table1[[#This Row],[Date]],"MMM")</f>
        <v>Jan</v>
      </c>
      <c r="D496" s="2" t="str">
        <f>"Q"&amp;ROUNDUP(MONTH(Table1[[#This Row],[Date]])/3,0)</f>
        <v>Q1</v>
      </c>
      <c r="E496" s="2">
        <f>YEAR(Table1[[#This Row],[Date]])</f>
        <v>2024</v>
      </c>
      <c r="F496" s="2" t="s">
        <v>100</v>
      </c>
      <c r="G496" s="2" t="s">
        <v>64</v>
      </c>
      <c r="H496" s="2" t="s">
        <v>28</v>
      </c>
      <c r="I496" s="2" t="s">
        <v>116</v>
      </c>
      <c r="J496" s="2">
        <v>3</v>
      </c>
      <c r="K496" s="2">
        <v>85000</v>
      </c>
      <c r="L496" s="2">
        <v>10</v>
      </c>
      <c r="M496" s="2">
        <v>229500</v>
      </c>
      <c r="N496" s="23">
        <f>(Table1[[#This Row],[Profit (PKR)]]/Table1[[#This Row],[Total Revenue (PKR)]])</f>
        <v>0.15032679738562091</v>
      </c>
      <c r="O496" s="2">
        <v>65000</v>
      </c>
      <c r="P496" s="2">
        <v>195000</v>
      </c>
      <c r="Q496" s="2">
        <v>34500</v>
      </c>
      <c r="R496" s="2" t="s">
        <v>42</v>
      </c>
      <c r="S496" s="2" t="str">
        <f>IF(AND(Table1[[#This Row],[Total Revenue (PKR)]]&gt;50000, Table1[[#This Row],[Discount %]]&lt;10),"High Value","Standard")</f>
        <v>Standard</v>
      </c>
      <c r="T496" s="2" t="s">
        <v>55</v>
      </c>
      <c r="U496" s="6" t="s">
        <v>24</v>
      </c>
      <c r="V496" s="19" t="s">
        <v>833</v>
      </c>
    </row>
    <row r="497" spans="1:22" x14ac:dyDescent="0.25">
      <c r="A497" s="5" t="s">
        <v>834</v>
      </c>
      <c r="B497" s="16">
        <f>DATEVALUE(Table1[[#This Row],[Date2]])</f>
        <v>45499</v>
      </c>
      <c r="C497" s="3" t="str">
        <f>TEXT(Table1[[#This Row],[Date]],"MMM")</f>
        <v>Jul</v>
      </c>
      <c r="D497" s="3" t="str">
        <f>"Q"&amp;ROUNDUP(MONTH(Table1[[#This Row],[Date]])/3,0)</f>
        <v>Q3</v>
      </c>
      <c r="E497" s="3">
        <f>YEAR(Table1[[#This Row],[Date]])</f>
        <v>2024</v>
      </c>
      <c r="F497" s="3" t="s">
        <v>47</v>
      </c>
      <c r="G497" s="3" t="s">
        <v>64</v>
      </c>
      <c r="H497" s="3" t="s">
        <v>53</v>
      </c>
      <c r="I497" s="3" t="s">
        <v>82</v>
      </c>
      <c r="J497" s="3">
        <v>3</v>
      </c>
      <c r="K497" s="3">
        <v>4000</v>
      </c>
      <c r="L497" s="3">
        <v>0</v>
      </c>
      <c r="M497" s="3">
        <v>12000</v>
      </c>
      <c r="N497" s="24">
        <f>(Table1[[#This Row],[Profit (PKR)]]/Table1[[#This Row],[Total Revenue (PKR)]])</f>
        <v>0.375</v>
      </c>
      <c r="O497" s="3">
        <v>2500</v>
      </c>
      <c r="P497" s="3">
        <v>7500</v>
      </c>
      <c r="Q497" s="3">
        <v>4500</v>
      </c>
      <c r="R497" s="3" t="s">
        <v>42</v>
      </c>
      <c r="S497" s="3" t="str">
        <f>IF(AND(Table1[[#This Row],[Total Revenue (PKR)]]&gt;50000, Table1[[#This Row],[Discount %]]&lt;10),"High Value","Standard")</f>
        <v>Standard</v>
      </c>
      <c r="T497" s="3" t="s">
        <v>23</v>
      </c>
      <c r="U497" s="7" t="s">
        <v>86</v>
      </c>
      <c r="V497" s="20" t="s">
        <v>394</v>
      </c>
    </row>
    <row r="498" spans="1:22" x14ac:dyDescent="0.25">
      <c r="A498" s="4" t="s">
        <v>835</v>
      </c>
      <c r="B498" s="15">
        <f>DATEVALUE(Table1[[#This Row],[Date2]])</f>
        <v>45590</v>
      </c>
      <c r="C498" s="2" t="str">
        <f>TEXT(Table1[[#This Row],[Date]],"MMM")</f>
        <v>Oct</v>
      </c>
      <c r="D498" s="2" t="str">
        <f>"Q"&amp;ROUNDUP(MONTH(Table1[[#This Row],[Date]])/3,0)</f>
        <v>Q4</v>
      </c>
      <c r="E498" s="2">
        <f>YEAR(Table1[[#This Row],[Date]])</f>
        <v>2024</v>
      </c>
      <c r="F498" s="2" t="s">
        <v>100</v>
      </c>
      <c r="G498" s="2" t="s">
        <v>52</v>
      </c>
      <c r="H498" s="2" t="s">
        <v>20</v>
      </c>
      <c r="I498" s="2" t="s">
        <v>21</v>
      </c>
      <c r="J498" s="2">
        <v>20</v>
      </c>
      <c r="K498" s="2">
        <v>3500</v>
      </c>
      <c r="L498" s="2">
        <v>5</v>
      </c>
      <c r="M498" s="2">
        <v>66500</v>
      </c>
      <c r="N498" s="23">
        <f>(Table1[[#This Row],[Profit (PKR)]]/Table1[[#This Row],[Total Revenue (PKR)]])</f>
        <v>0.39849624060150374</v>
      </c>
      <c r="O498" s="2">
        <v>2000</v>
      </c>
      <c r="P498" s="2">
        <v>40000</v>
      </c>
      <c r="Q498" s="2">
        <v>26500</v>
      </c>
      <c r="R498" s="2" t="s">
        <v>42</v>
      </c>
      <c r="S498" s="2" t="str">
        <f>IF(AND(Table1[[#This Row],[Total Revenue (PKR)]]&gt;50000, Table1[[#This Row],[Discount %]]&lt;10),"High Value","Standard")</f>
        <v>High Value</v>
      </c>
      <c r="T498" s="2" t="s">
        <v>66</v>
      </c>
      <c r="U498" s="6" t="s">
        <v>44</v>
      </c>
      <c r="V498" s="19" t="s">
        <v>697</v>
      </c>
    </row>
    <row r="499" spans="1:22" x14ac:dyDescent="0.25">
      <c r="A499" s="5" t="s">
        <v>836</v>
      </c>
      <c r="B499" s="16">
        <f>DATEVALUE(Table1[[#This Row],[Date2]])</f>
        <v>45425</v>
      </c>
      <c r="C499" s="3" t="str">
        <f>TEXT(Table1[[#This Row],[Date]],"MMM")</f>
        <v>May</v>
      </c>
      <c r="D499" s="3" t="str">
        <f>"Q"&amp;ROUNDUP(MONTH(Table1[[#This Row],[Date]])/3,0)</f>
        <v>Q2</v>
      </c>
      <c r="E499" s="3">
        <f>YEAR(Table1[[#This Row],[Date]])</f>
        <v>2024</v>
      </c>
      <c r="F499" s="3" t="s">
        <v>92</v>
      </c>
      <c r="G499" s="3" t="s">
        <v>27</v>
      </c>
      <c r="H499" s="3" t="s">
        <v>53</v>
      </c>
      <c r="I499" s="3" t="s">
        <v>82</v>
      </c>
      <c r="J499" s="3">
        <v>18</v>
      </c>
      <c r="K499" s="3">
        <v>4000</v>
      </c>
      <c r="L499" s="3">
        <v>0</v>
      </c>
      <c r="M499" s="3">
        <v>72000</v>
      </c>
      <c r="N499" s="24">
        <f>(Table1[[#This Row],[Profit (PKR)]]/Table1[[#This Row],[Total Revenue (PKR)]])</f>
        <v>0.375</v>
      </c>
      <c r="O499" s="3">
        <v>2500</v>
      </c>
      <c r="P499" s="3">
        <v>45000</v>
      </c>
      <c r="Q499" s="3">
        <v>27000</v>
      </c>
      <c r="R499" s="3" t="s">
        <v>42</v>
      </c>
      <c r="S499" s="3" t="str">
        <f>IF(AND(Table1[[#This Row],[Total Revenue (PKR)]]&gt;50000, Table1[[#This Row],[Discount %]]&lt;10),"High Value","Standard")</f>
        <v>High Value</v>
      </c>
      <c r="T499" s="3" t="s">
        <v>55</v>
      </c>
      <c r="U499" s="7" t="s">
        <v>95</v>
      </c>
      <c r="V499" s="20" t="s">
        <v>156</v>
      </c>
    </row>
    <row r="500" spans="1:22" x14ac:dyDescent="0.25">
      <c r="A500" s="4" t="s">
        <v>837</v>
      </c>
      <c r="B500" s="15">
        <f>DATEVALUE(Table1[[#This Row],[Date2]])</f>
        <v>45554</v>
      </c>
      <c r="C500" s="2" t="str">
        <f>TEXT(Table1[[#This Row],[Date]],"MMM")</f>
        <v>Sep</v>
      </c>
      <c r="D500" s="2" t="str">
        <f>"Q"&amp;ROUNDUP(MONTH(Table1[[#This Row],[Date]])/3,0)</f>
        <v>Q3</v>
      </c>
      <c r="E500" s="2">
        <f>YEAR(Table1[[#This Row],[Date]])</f>
        <v>2024</v>
      </c>
      <c r="F500" s="2" t="s">
        <v>39</v>
      </c>
      <c r="G500" s="2" t="s">
        <v>48</v>
      </c>
      <c r="H500" s="2" t="s">
        <v>93</v>
      </c>
      <c r="I500" s="2" t="s">
        <v>109</v>
      </c>
      <c r="J500" s="2">
        <v>19</v>
      </c>
      <c r="K500" s="2">
        <v>700</v>
      </c>
      <c r="L500" s="2">
        <v>15</v>
      </c>
      <c r="M500" s="2">
        <v>11305</v>
      </c>
      <c r="N500" s="23">
        <f>(Table1[[#This Row],[Profit (PKR)]]/Table1[[#This Row],[Total Revenue (PKR)]])</f>
        <v>0.15966386554621848</v>
      </c>
      <c r="O500" s="2">
        <v>500</v>
      </c>
      <c r="P500" s="2">
        <v>9500</v>
      </c>
      <c r="Q500" s="2">
        <v>1805</v>
      </c>
      <c r="R500" s="2" t="s">
        <v>22</v>
      </c>
      <c r="S500" s="2" t="str">
        <f>IF(AND(Table1[[#This Row],[Total Revenue (PKR)]]&gt;50000, Table1[[#This Row],[Discount %]]&lt;10),"High Value","Standard")</f>
        <v>Standard</v>
      </c>
      <c r="T500" s="2" t="s">
        <v>55</v>
      </c>
      <c r="U500" s="6" t="s">
        <v>95</v>
      </c>
      <c r="V500" s="19" t="s">
        <v>329</v>
      </c>
    </row>
    <row r="501" spans="1:22" x14ac:dyDescent="0.25">
      <c r="A501" s="11" t="s">
        <v>838</v>
      </c>
      <c r="B501" s="17">
        <f>DATEVALUE(Table1[[#This Row],[Date2]])</f>
        <v>45526</v>
      </c>
      <c r="C501" s="12" t="str">
        <f>TEXT(Table1[[#This Row],[Date]],"MMM")</f>
        <v>Aug</v>
      </c>
      <c r="D501" s="12" t="str">
        <f>"Q"&amp;ROUNDUP(MONTH(Table1[[#This Row],[Date]])/3,0)</f>
        <v>Q3</v>
      </c>
      <c r="E501" s="12">
        <f>YEAR(Table1[[#This Row],[Date]])</f>
        <v>2024</v>
      </c>
      <c r="F501" s="12" t="s">
        <v>122</v>
      </c>
      <c r="G501" s="12" t="s">
        <v>19</v>
      </c>
      <c r="H501" s="12" t="s">
        <v>93</v>
      </c>
      <c r="I501" s="12" t="s">
        <v>119</v>
      </c>
      <c r="J501" s="12">
        <v>9</v>
      </c>
      <c r="K501" s="12">
        <v>800</v>
      </c>
      <c r="L501" s="12">
        <v>0</v>
      </c>
      <c r="M501" s="12">
        <v>7200</v>
      </c>
      <c r="N501" s="25">
        <f>(Table1[[#This Row],[Profit (PKR)]]/Table1[[#This Row],[Total Revenue (PKR)]])</f>
        <v>0.25</v>
      </c>
      <c r="O501" s="12">
        <v>600</v>
      </c>
      <c r="P501" s="12">
        <v>5400</v>
      </c>
      <c r="Q501" s="12">
        <v>1800</v>
      </c>
      <c r="R501" s="12" t="s">
        <v>42</v>
      </c>
      <c r="S501" s="12" t="str">
        <f>IF(AND(Table1[[#This Row],[Total Revenue (PKR)]]&gt;50000, Table1[[#This Row],[Discount %]]&lt;10),"High Value","Standard")</f>
        <v>Standard</v>
      </c>
      <c r="T501" s="12" t="s">
        <v>23</v>
      </c>
      <c r="U501" s="13" t="s">
        <v>86</v>
      </c>
      <c r="V501" s="21" t="s">
        <v>386</v>
      </c>
    </row>
    <row r="502" spans="1:22" x14ac:dyDescent="0.25">
      <c r="A502" s="78"/>
      <c r="B502" s="79"/>
      <c r="C502" s="80"/>
      <c r="D502" s="80"/>
      <c r="E502" s="80"/>
      <c r="F502" s="80"/>
      <c r="G502" s="80"/>
      <c r="H502" s="80"/>
      <c r="I502" s="80"/>
      <c r="J502" s="80"/>
      <c r="K502" s="80"/>
      <c r="L502" s="80"/>
      <c r="M502" s="80">
        <f>SUBTOTAL(109,Table1[Total Revenue (PKR)])</f>
        <v>52968740</v>
      </c>
      <c r="N502" s="81">
        <f>AVERAGE(Table1[Profit Margin%])</f>
        <v>0.26039037812797422</v>
      </c>
      <c r="O502" s="80"/>
      <c r="P502" s="80"/>
      <c r="Q502" s="80">
        <f>SUM(Table1[Profit (PKR)])</f>
        <v>9129880</v>
      </c>
      <c r="R502" s="80"/>
      <c r="S502" s="80"/>
      <c r="T502" s="80"/>
      <c r="U502" s="82"/>
      <c r="V502" s="83">
        <f>SUBTOTAL(109,Table1[Date2])</f>
        <v>0</v>
      </c>
    </row>
  </sheetData>
  <conditionalFormatting sqref="Q1:Q501 Q503:Q1048576">
    <cfRule type="cellIs" dxfId="239" priority="1" operator="lessThan">
      <formula>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
  <sheetViews>
    <sheetView showGridLines="0" showRowColHeaders="0" zoomScale="60" zoomScaleNormal="60" workbookViewId="0">
      <pane ySplit="2" topLeftCell="A3" activePane="bottomLeft" state="frozen"/>
      <selection activeCell="B1" sqref="B1"/>
      <selection pane="bottomLeft" activeCell="C30" sqref="C30"/>
    </sheetView>
  </sheetViews>
  <sheetFormatPr defaultColWidth="17.28515625" defaultRowHeight="15" x14ac:dyDescent="0.25"/>
  <cols>
    <col min="1" max="1" width="2" customWidth="1"/>
    <col min="2" max="2" width="21.140625" bestFit="1" customWidth="1"/>
    <col min="3" max="3" width="24.42578125" bestFit="1" customWidth="1"/>
    <col min="4" max="4" width="20.140625" bestFit="1" customWidth="1"/>
    <col min="5" max="5" width="23.7109375" bestFit="1" customWidth="1"/>
    <col min="6" max="6" width="24.28515625" bestFit="1" customWidth="1"/>
    <col min="7" max="7" width="21.7109375" bestFit="1" customWidth="1"/>
    <col min="8" max="8" width="24.28515625" bestFit="1" customWidth="1"/>
    <col min="9" max="9" width="24.85546875" bestFit="1" customWidth="1"/>
    <col min="10" max="10" width="13.28515625" customWidth="1"/>
    <col min="11" max="11" width="20.7109375" customWidth="1"/>
    <col min="12" max="12" width="23.140625" bestFit="1" customWidth="1"/>
    <col min="13" max="13" width="24" bestFit="1" customWidth="1"/>
    <col min="14" max="15" width="16" customWidth="1"/>
  </cols>
  <sheetData>
    <row r="1" spans="1:14" ht="50.25" customHeight="1" x14ac:dyDescent="0.55000000000000004">
      <c r="D1" s="33"/>
      <c r="E1" s="32"/>
      <c r="F1" s="26"/>
      <c r="G1" s="28"/>
      <c r="H1" s="29"/>
      <c r="I1" s="30"/>
    </row>
    <row r="2" spans="1:14" ht="40.5" customHeight="1" x14ac:dyDescent="0.25">
      <c r="G2" s="27"/>
    </row>
    <row r="3" spans="1:14" ht="27.75" customHeight="1" x14ac:dyDescent="0.4">
      <c r="A3" s="35"/>
      <c r="B3" s="34"/>
      <c r="C3" s="35"/>
      <c r="D3" s="26"/>
      <c r="E3" s="26"/>
      <c r="F3" s="26"/>
    </row>
    <row r="4" spans="1:14" ht="18.75" x14ac:dyDescent="0.25">
      <c r="D4" s="56" t="s">
        <v>2</v>
      </c>
      <c r="E4" s="57" t="s">
        <v>845</v>
      </c>
      <c r="F4" s="57" t="s">
        <v>846</v>
      </c>
      <c r="G4" s="57" t="s">
        <v>847</v>
      </c>
      <c r="H4" s="57" t="s">
        <v>848</v>
      </c>
      <c r="I4" s="58" t="s">
        <v>866</v>
      </c>
      <c r="K4" s="69" t="s">
        <v>2</v>
      </c>
      <c r="L4" s="37" t="s">
        <v>846</v>
      </c>
      <c r="M4" s="70" t="s">
        <v>852</v>
      </c>
    </row>
    <row r="5" spans="1:14" x14ac:dyDescent="0.25">
      <c r="D5" s="59" t="s">
        <v>104</v>
      </c>
      <c r="E5" s="39">
        <f>SUMIFS('Cleaned Data'!M:M,'Cleaned Data'!F:F,Table2[[#This Row],[Salesperson]])</f>
        <v>4096660</v>
      </c>
      <c r="F5" s="39">
        <f>SUMIFS('Cleaned Data'!Q:Q,'Cleaned Data'!F:F,Table2[[#This Row],[Salesperson]])</f>
        <v>791960</v>
      </c>
      <c r="G5" s="39">
        <f>COUNTIFS('Cleaned Data'!F:F,Table2[[#This Row],[Salesperson]])</f>
        <v>46</v>
      </c>
      <c r="H5" s="60">
        <f>AVERAGEIFS('Cleaned Data'!L:L,'Cleaned Data'!F:F,Table2[[#This Row],[Salesperson]])</f>
        <v>11.195652173913043</v>
      </c>
      <c r="I5" s="61">
        <f>COUNTIFS('Cleaned Data'!F:F,Table2[[#This Row],[Salesperson]],'Cleaned Data'!U:U,"Delivered")</f>
        <v>29</v>
      </c>
      <c r="K5" s="48" t="s">
        <v>104</v>
      </c>
      <c r="L5" s="39">
        <f>SUMIFS('Cleaned Data'!Q:Q,'Cleaned Data'!F:F,Table6[[#This Row],[Salesperson]])</f>
        <v>791960</v>
      </c>
      <c r="M5" s="61">
        <f>RANK(Table6[[#This Row],[Total Profit]],Table6[Total Profit],0)</f>
        <v>5</v>
      </c>
    </row>
    <row r="6" spans="1:14" x14ac:dyDescent="0.25">
      <c r="D6" s="62" t="s">
        <v>100</v>
      </c>
      <c r="E6" s="41">
        <f>SUMIFS('Cleaned Data'!M:M,'Cleaned Data'!F:F,Table2[[#This Row],[Salesperson]])</f>
        <v>6054305</v>
      </c>
      <c r="F6" s="41">
        <f>SUMIFS('Cleaned Data'!Q:Q,'Cleaned Data'!F:F,Table2[[#This Row],[Salesperson]])</f>
        <v>710145</v>
      </c>
      <c r="G6" s="41">
        <f>COUNTIFS('Cleaned Data'!F:F,Table2[[#This Row],[Salesperson]])</f>
        <v>52</v>
      </c>
      <c r="H6" s="63">
        <f>AVERAGEIFS('Cleaned Data'!L:L,'Cleaned Data'!F:F,Table2[[#This Row],[Salesperson]])</f>
        <v>14.51923076923077</v>
      </c>
      <c r="I6" s="64">
        <f>COUNTIFS('Cleaned Data'!F:F,Table2[[#This Row],[Salesperson]],'Cleaned Data'!U:U,"Delivered")</f>
        <v>32</v>
      </c>
      <c r="K6" s="71" t="s">
        <v>100</v>
      </c>
      <c r="L6" s="41">
        <f>SUMIFS('Cleaned Data'!Q:Q,'Cleaned Data'!F:F,Table6[[#This Row],[Salesperson]])</f>
        <v>710145</v>
      </c>
      <c r="M6" s="65">
        <f>RANK(Table6[[#This Row],[Total Profit]],Table6[Total Profit],0)</f>
        <v>8</v>
      </c>
    </row>
    <row r="7" spans="1:14" x14ac:dyDescent="0.25">
      <c r="D7" s="59" t="s">
        <v>92</v>
      </c>
      <c r="E7" s="39">
        <f>SUMIFS('Cleaned Data'!M:M,'Cleaned Data'!F:F,Table2[[#This Row],[Salesperson]])</f>
        <v>8698130</v>
      </c>
      <c r="F7" s="39">
        <f>SUMIFS('Cleaned Data'!Q:Q,'Cleaned Data'!F:F,Table2[[#This Row],[Salesperson]])</f>
        <v>1459910</v>
      </c>
      <c r="G7" s="39">
        <f>COUNTIFS('Cleaned Data'!F:F,Table2[[#This Row],[Salesperson]])</f>
        <v>55</v>
      </c>
      <c r="H7" s="60">
        <f>AVERAGEIFS('Cleaned Data'!L:L,'Cleaned Data'!F:F,Table2[[#This Row],[Salesperson]])</f>
        <v>14.181818181818182</v>
      </c>
      <c r="I7" s="61">
        <f>COUNTIFS('Cleaned Data'!F:F,Table2[[#This Row],[Salesperson]],'Cleaned Data'!U:U,"Delivered")</f>
        <v>28</v>
      </c>
      <c r="K7" s="48" t="s">
        <v>92</v>
      </c>
      <c r="L7" s="39">
        <f>SUMIFS('Cleaned Data'!Q:Q,'Cleaned Data'!F:F,Table6[[#This Row],[Salesperson]])</f>
        <v>1459910</v>
      </c>
      <c r="M7" s="61">
        <f>RANK(Table6[[#This Row],[Total Profit]],Table6[Total Profit],0)</f>
        <v>1</v>
      </c>
    </row>
    <row r="8" spans="1:14" x14ac:dyDescent="0.25">
      <c r="D8" s="62" t="s">
        <v>33</v>
      </c>
      <c r="E8" s="41">
        <f>SUMIFS('Cleaned Data'!M:M,'Cleaned Data'!F:F,Table2[[#This Row],[Salesperson]])</f>
        <v>5657955</v>
      </c>
      <c r="F8" s="41">
        <f>SUMIFS('Cleaned Data'!Q:Q,'Cleaned Data'!F:F,Table2[[#This Row],[Salesperson]])</f>
        <v>718855</v>
      </c>
      <c r="G8" s="41">
        <f>COUNTIFS('Cleaned Data'!F:F,Table2[[#This Row],[Salesperson]])</f>
        <v>45</v>
      </c>
      <c r="H8" s="63">
        <f>AVERAGEIFS('Cleaned Data'!L:L,'Cleaned Data'!F:F,Table2[[#This Row],[Salesperson]])</f>
        <v>12.444444444444445</v>
      </c>
      <c r="I8" s="65">
        <f>COUNTIFS('Cleaned Data'!F:F,Table2[[#This Row],[Salesperson]],'Cleaned Data'!U:U,"Delivered")</f>
        <v>24</v>
      </c>
      <c r="K8" s="71" t="s">
        <v>33</v>
      </c>
      <c r="L8" s="41">
        <f>SUMIFS('Cleaned Data'!Q:Q,'Cleaned Data'!F:F,Table6[[#This Row],[Salesperson]])</f>
        <v>718855</v>
      </c>
      <c r="M8" s="65">
        <f>RANK(Table6[[#This Row],[Total Profit]],Table6[Total Profit],0)</f>
        <v>7</v>
      </c>
    </row>
    <row r="9" spans="1:14" x14ac:dyDescent="0.25">
      <c r="D9" s="59" t="s">
        <v>77</v>
      </c>
      <c r="E9" s="39">
        <f>SUMIFS('Cleaned Data'!M:M,'Cleaned Data'!F:F,Table2[[#This Row],[Salesperson]])</f>
        <v>2606325</v>
      </c>
      <c r="F9" s="39">
        <f>SUMIFS('Cleaned Data'!Q:Q,'Cleaned Data'!F:F,Table2[[#This Row],[Salesperson]])</f>
        <v>679465</v>
      </c>
      <c r="G9" s="39">
        <f>COUNTIFS('Cleaned Data'!F:F,Table2[[#This Row],[Salesperson]])</f>
        <v>41</v>
      </c>
      <c r="H9" s="60">
        <f>AVERAGEIFS('Cleaned Data'!L:L,'Cleaned Data'!F:F,Table2[[#This Row],[Salesperson]])</f>
        <v>13.902439024390244</v>
      </c>
      <c r="I9" s="61">
        <f>COUNTIFS('Cleaned Data'!F:F,Table2[[#This Row],[Salesperson]],'Cleaned Data'!U:U,"Delivered")</f>
        <v>22</v>
      </c>
      <c r="K9" s="48" t="s">
        <v>77</v>
      </c>
      <c r="L9" s="39">
        <f>SUMIFS('Cleaned Data'!Q:Q,'Cleaned Data'!F:F,Table6[[#This Row],[Salesperson]])</f>
        <v>679465</v>
      </c>
      <c r="M9" s="61">
        <f>RANK(Table6[[#This Row],[Total Profit]],Table6[Total Profit],0)</f>
        <v>9</v>
      </c>
    </row>
    <row r="10" spans="1:14" x14ac:dyDescent="0.25">
      <c r="D10" s="62" t="s">
        <v>63</v>
      </c>
      <c r="E10" s="41">
        <f>SUMIFS('Cleaned Data'!M:M,'Cleaned Data'!F:F,Table2[[#This Row],[Salesperson]])</f>
        <v>3035075</v>
      </c>
      <c r="F10" s="41">
        <f>SUMIFS('Cleaned Data'!Q:Q,'Cleaned Data'!F:F,Table2[[#This Row],[Salesperson]])</f>
        <v>754675</v>
      </c>
      <c r="G10" s="41">
        <f>COUNTIFS('Cleaned Data'!F:F,Table2[[#This Row],[Salesperson]])</f>
        <v>49</v>
      </c>
      <c r="H10" s="63">
        <f>AVERAGEIFS('Cleaned Data'!L:L,'Cleaned Data'!F:F,Table2[[#This Row],[Salesperson]])</f>
        <v>12.346938775510203</v>
      </c>
      <c r="I10" s="65">
        <f>COUNTIFS('Cleaned Data'!F:F,Table2[[#This Row],[Salesperson]],'Cleaned Data'!U:U,"Delivered")</f>
        <v>35</v>
      </c>
      <c r="K10" s="71" t="s">
        <v>63</v>
      </c>
      <c r="L10" s="41">
        <f>SUMIFS('Cleaned Data'!Q:Q,'Cleaned Data'!F:F,Table6[[#This Row],[Salesperson]])</f>
        <v>754675</v>
      </c>
      <c r="M10" s="65">
        <f>RANK(Table6[[#This Row],[Total Profit]],Table6[Total Profit],0)</f>
        <v>6</v>
      </c>
    </row>
    <row r="11" spans="1:14" x14ac:dyDescent="0.25">
      <c r="D11" s="59" t="s">
        <v>47</v>
      </c>
      <c r="E11" s="39">
        <f>SUMIFS('Cleaned Data'!M:M,'Cleaned Data'!F:F,Table2[[#This Row],[Salesperson]])</f>
        <v>7225110</v>
      </c>
      <c r="F11" s="39">
        <f>SUMIFS('Cleaned Data'!Q:Q,'Cleaned Data'!F:F,Table2[[#This Row],[Salesperson]])</f>
        <v>1346610</v>
      </c>
      <c r="G11" s="39">
        <f>COUNTIFS('Cleaned Data'!F:F,Table2[[#This Row],[Salesperson]])</f>
        <v>66</v>
      </c>
      <c r="H11" s="60">
        <f>AVERAGEIFS('Cleaned Data'!L:L,'Cleaned Data'!F:F,Table2[[#This Row],[Salesperson]])</f>
        <v>12.424242424242424</v>
      </c>
      <c r="I11" s="61">
        <f>COUNTIFS('Cleaned Data'!F:F,Table2[[#This Row],[Salesperson]],'Cleaned Data'!U:U,"Delivered")</f>
        <v>39</v>
      </c>
      <c r="K11" s="48" t="s">
        <v>47</v>
      </c>
      <c r="L11" s="39">
        <f>SUMIFS('Cleaned Data'!Q:Q,'Cleaned Data'!F:F,Table6[[#This Row],[Salesperson]])</f>
        <v>1346610</v>
      </c>
      <c r="M11" s="61">
        <f>RANK(Table6[[#This Row],[Total Profit]],Table6[Total Profit],0)</f>
        <v>2</v>
      </c>
    </row>
    <row r="12" spans="1:14" x14ac:dyDescent="0.25">
      <c r="D12" s="62" t="s">
        <v>18</v>
      </c>
      <c r="E12" s="41">
        <f>SUMIFS('Cleaned Data'!M:M,'Cleaned Data'!F:F,Table2[[#This Row],[Salesperson]])</f>
        <v>6046970</v>
      </c>
      <c r="F12" s="41">
        <f>SUMIFS('Cleaned Data'!Q:Q,'Cleaned Data'!F:F,Table2[[#This Row],[Salesperson]])</f>
        <v>874050</v>
      </c>
      <c r="G12" s="41">
        <f>COUNTIFS('Cleaned Data'!F:F,Table2[[#This Row],[Salesperson]])</f>
        <v>58</v>
      </c>
      <c r="H12" s="63">
        <f>AVERAGEIFS('Cleaned Data'!L:L,'Cleaned Data'!F:F,Table2[[#This Row],[Salesperson]])</f>
        <v>12.844827586206897</v>
      </c>
      <c r="I12" s="65">
        <f>COUNTIFS('Cleaned Data'!F:F,Table2[[#This Row],[Salesperson]],'Cleaned Data'!U:U,"Delivered")</f>
        <v>33</v>
      </c>
      <c r="K12" s="71" t="s">
        <v>18</v>
      </c>
      <c r="L12" s="41">
        <f>SUMIFS('Cleaned Data'!Q:Q,'Cleaned Data'!F:F,Table6[[#This Row],[Salesperson]])</f>
        <v>874050</v>
      </c>
      <c r="M12" s="65">
        <f>RANK(Table6[[#This Row],[Total Profit]],Table6[Total Profit],0)</f>
        <v>4</v>
      </c>
    </row>
    <row r="13" spans="1:14" x14ac:dyDescent="0.25">
      <c r="D13" s="59" t="s">
        <v>39</v>
      </c>
      <c r="E13" s="39">
        <f>SUMIFS('Cleaned Data'!M:M,'Cleaned Data'!F:F,Table2[[#This Row],[Salesperson]])</f>
        <v>4379865</v>
      </c>
      <c r="F13" s="39">
        <f>SUMIFS('Cleaned Data'!Q:Q,'Cleaned Data'!F:F,Table2[[#This Row],[Salesperson]])</f>
        <v>633765</v>
      </c>
      <c r="G13" s="39">
        <f>COUNTIFS('Cleaned Data'!F:F,Table2[[#This Row],[Salesperson]])</f>
        <v>45</v>
      </c>
      <c r="H13" s="60">
        <f>AVERAGEIFS('Cleaned Data'!L:L,'Cleaned Data'!F:F,Table2[[#This Row],[Salesperson]])</f>
        <v>13.333333333333334</v>
      </c>
      <c r="I13" s="61">
        <f>COUNTIFS('Cleaned Data'!F:F,Table2[[#This Row],[Salesperson]],'Cleaned Data'!U:U,"Delivered")</f>
        <v>21</v>
      </c>
      <c r="K13" s="48" t="s">
        <v>39</v>
      </c>
      <c r="L13" s="39">
        <f>SUMIFS('Cleaned Data'!Q:Q,'Cleaned Data'!F:F,Table6[[#This Row],[Salesperson]])</f>
        <v>633765</v>
      </c>
      <c r="M13" s="61">
        <f>RANK(Table6[[#This Row],[Total Profit]],Table6[Total Profit],0)</f>
        <v>10</v>
      </c>
    </row>
    <row r="14" spans="1:14" x14ac:dyDescent="0.25">
      <c r="D14" s="66" t="s">
        <v>122</v>
      </c>
      <c r="E14" s="43">
        <f>SUMIFS('Cleaned Data'!M:M,'Cleaned Data'!F:F,Table2[[#This Row],[Salesperson]])</f>
        <v>5168345</v>
      </c>
      <c r="F14" s="43">
        <f>SUMIFS('Cleaned Data'!Q:Q,'Cleaned Data'!F:F,Table2[[#This Row],[Salesperson]])</f>
        <v>1160445</v>
      </c>
      <c r="G14" s="43">
        <f>COUNTIFS('Cleaned Data'!F:F,Table2[[#This Row],[Salesperson]])</f>
        <v>43</v>
      </c>
      <c r="H14" s="67">
        <f>AVERAGEIFS('Cleaned Data'!L:L,'Cleaned Data'!F:F,Table2[[#This Row],[Salesperson]])</f>
        <v>10</v>
      </c>
      <c r="I14" s="68">
        <f>COUNTIFS('Cleaned Data'!F:F,Table2[[#This Row],[Salesperson]],'Cleaned Data'!U:U,"Delivered")</f>
        <v>27</v>
      </c>
      <c r="K14" s="50" t="s">
        <v>122</v>
      </c>
      <c r="L14" s="43">
        <f>SUMIFS('Cleaned Data'!Q:Q,'Cleaned Data'!F:F,Table6[[#This Row],[Salesperson]])</f>
        <v>1160445</v>
      </c>
      <c r="M14" s="68">
        <f>RANK(Table6[[#This Row],[Total Profit]],Table6[Total Profit],0)</f>
        <v>3</v>
      </c>
    </row>
    <row r="15" spans="1:14" ht="24.75" customHeight="1" x14ac:dyDescent="0.25"/>
    <row r="16" spans="1:14" ht="23.25" customHeight="1" x14ac:dyDescent="0.25">
      <c r="A16" s="27"/>
      <c r="N16" s="102"/>
    </row>
    <row r="17" spans="2:15" x14ac:dyDescent="0.25">
      <c r="B17" s="31"/>
      <c r="H17" s="27"/>
    </row>
    <row r="18" spans="2:15" ht="21" x14ac:dyDescent="0.35">
      <c r="D18" s="84" t="s">
        <v>849</v>
      </c>
      <c r="E18" s="85">
        <f>Table1[[#Totals],[Total Revenue (PKR)]]</f>
        <v>52968740</v>
      </c>
      <c r="F18" s="36" t="s">
        <v>3</v>
      </c>
      <c r="G18" s="37" t="s">
        <v>849</v>
      </c>
      <c r="H18" s="37" t="s">
        <v>846</v>
      </c>
      <c r="I18" s="38" t="s">
        <v>850</v>
      </c>
      <c r="K18" s="45" t="s">
        <v>13</v>
      </c>
      <c r="L18" s="46" t="s">
        <v>849</v>
      </c>
      <c r="M18" s="47" t="s">
        <v>851</v>
      </c>
    </row>
    <row r="19" spans="2:15" x14ac:dyDescent="0.25">
      <c r="F19" s="59" t="s">
        <v>48</v>
      </c>
      <c r="G19" s="39">
        <f>SUMIFS('Cleaned Data'!M:M,'Cleaned Data'!G:G,Table3[[#This Row],[Region]])</f>
        <v>5230650</v>
      </c>
      <c r="H19" s="39">
        <f>SUMIFS('Cleaned Data'!Q:Q,'Cleaned Data'!G:G,'Formulas &amp; Analysis'!F22)</f>
        <v>1011110</v>
      </c>
      <c r="I19" s="40">
        <f>AVERAGEIFS('Cleaned Data'!N:N,'Cleaned Data'!G:G,Table3[[#This Row],[Region]])</f>
        <v>0.2624648941825361</v>
      </c>
      <c r="K19" s="48" t="s">
        <v>22</v>
      </c>
      <c r="L19" s="39">
        <f>SUMIFS('Cleaned Data'!M:M,'Cleaned Data'!R:R,Table5[[#This Row],[Customer Type]])</f>
        <v>26805285</v>
      </c>
      <c r="M19" s="49">
        <f>AVERAGEIFS('Cleaned Data'!M:M,'Cleaned Data'!R:R,Table5[[#This Row],[Customer Type]])</f>
        <v>109857.72540983607</v>
      </c>
    </row>
    <row r="20" spans="2:15" x14ac:dyDescent="0.25">
      <c r="F20" s="62" t="s">
        <v>64</v>
      </c>
      <c r="G20" s="41">
        <f>SUMIFS('Cleaned Data'!M:M,'Cleaned Data'!G:G,Table3[[#This Row],[Region]])</f>
        <v>5312700</v>
      </c>
      <c r="H20" s="41">
        <f>SUMIFS('Cleaned Data'!Q:Q,'Cleaned Data'!G:G,'Formulas &amp; Analysis'!F24)</f>
        <v>1118915</v>
      </c>
      <c r="I20" s="42">
        <f>AVERAGEIFS('Cleaned Data'!N:N,'Cleaned Data'!G:G,Table3[[#This Row],[Region]])</f>
        <v>0.26625577185065058</v>
      </c>
      <c r="K20" s="50" t="s">
        <v>42</v>
      </c>
      <c r="L20" s="43">
        <f>SUMIFS('Cleaned Data'!M:M,'Cleaned Data'!R:R,Table5[[#This Row],[Customer Type]])</f>
        <v>26163455</v>
      </c>
      <c r="M20" s="51">
        <f>AVERAGEIFS('Cleaned Data'!M:M,'Cleaned Data'!R:R,Table5[[#This Row],[Customer Type]])</f>
        <v>102200.99609375</v>
      </c>
    </row>
    <row r="21" spans="2:15" ht="21" x14ac:dyDescent="0.35">
      <c r="D21" s="84" t="s">
        <v>846</v>
      </c>
      <c r="E21" s="85">
        <f>Table1[[#Totals],[Profit (PKR)]]</f>
        <v>9129880</v>
      </c>
      <c r="F21" s="59" t="s">
        <v>27</v>
      </c>
      <c r="G21" s="39">
        <f>SUMIFS('Cleaned Data'!M:M,'Cleaned Data'!G:G,Table3[[#This Row],[Region]])</f>
        <v>5745085</v>
      </c>
      <c r="H21" s="39">
        <f>SUMIFS('Cleaned Data'!Q:Q,'Cleaned Data'!G:G,'Formulas &amp; Analysis'!F20)</f>
        <v>1268240</v>
      </c>
      <c r="I21" s="40">
        <f>AVERAGEIFS('Cleaned Data'!N:N,'Cleaned Data'!G:G,Table3[[#This Row],[Region]])</f>
        <v>0.2715736463526281</v>
      </c>
    </row>
    <row r="22" spans="2:15" x14ac:dyDescent="0.25">
      <c r="F22" s="62" t="s">
        <v>74</v>
      </c>
      <c r="G22" s="41">
        <f>SUMIFS('Cleaned Data'!M:M,'Cleaned Data'!G:G,Table3[[#This Row],[Region]])</f>
        <v>6559530</v>
      </c>
      <c r="H22" s="41">
        <f>SUMIFS('Cleaned Data'!Q:Q,'Cleaned Data'!G:G,'Formulas &amp; Analysis'!F25)</f>
        <v>1374925</v>
      </c>
      <c r="I22" s="42">
        <f>AVERAGEIFS('Cleaned Data'!N:N,'Cleaned Data'!G:G,Table3[[#This Row],[Region]])</f>
        <v>0.25538916797603733</v>
      </c>
    </row>
    <row r="23" spans="2:15" x14ac:dyDescent="0.25">
      <c r="F23" s="59" t="s">
        <v>52</v>
      </c>
      <c r="G23" s="39">
        <f>SUMIFS('Cleaned Data'!M:M,'Cleaned Data'!G:G,Table3[[#This Row],[Region]])</f>
        <v>6952720</v>
      </c>
      <c r="H23" s="39">
        <f>SUMIFS('Cleaned Data'!Q:Q,'Cleaned Data'!G:G,'Formulas &amp; Analysis'!F23)</f>
        <v>1337400</v>
      </c>
      <c r="I23" s="40">
        <f>AVERAGEIFS('Cleaned Data'!N:N,'Cleaned Data'!G:G,Table3[[#This Row],[Region]])</f>
        <v>0.24256476913520827</v>
      </c>
      <c r="K23" s="77"/>
    </row>
    <row r="24" spans="2:15" ht="21" x14ac:dyDescent="0.35">
      <c r="D24" s="84" t="s">
        <v>871</v>
      </c>
      <c r="E24" s="86">
        <f>Table1[[#Totals],[Profit Margin%]]</f>
        <v>0.26039037812797422</v>
      </c>
      <c r="F24" s="62" t="s">
        <v>19</v>
      </c>
      <c r="G24" s="41">
        <f>SUMIFS('Cleaned Data'!M:M,'Cleaned Data'!G:G,Table3[[#This Row],[Region]])</f>
        <v>7566335</v>
      </c>
      <c r="H24" s="41">
        <f>SUMIFS('Cleaned Data'!Q:Q,'Cleaned Data'!G:G,'Formulas &amp; Analysis'!F19)</f>
        <v>951930</v>
      </c>
      <c r="I24" s="42">
        <f>AVERAGEIFS('Cleaned Data'!N:N,'Cleaned Data'!G:G,Table3[[#This Row],[Region]])</f>
        <v>0.26820877404969562</v>
      </c>
    </row>
    <row r="25" spans="2:15" ht="18.75" x14ac:dyDescent="0.25">
      <c r="F25" s="59" t="s">
        <v>40</v>
      </c>
      <c r="G25" s="39">
        <f>SUMIFS('Cleaned Data'!M:M,'Cleaned Data'!G:G,Table3[[#This Row],[Region]])</f>
        <v>7690565</v>
      </c>
      <c r="H25" s="39">
        <f>SUMIFS('Cleaned Data'!Q:Q,'Cleaned Data'!G:G,'Formulas &amp; Analysis'!F21)</f>
        <v>1079205</v>
      </c>
      <c r="I25" s="40">
        <f>AVERAGEIFS('Cleaned Data'!N:N,'Cleaned Data'!G:G,Table3[[#This Row],[Region]])</f>
        <v>0.269371305797861</v>
      </c>
      <c r="K25" s="45" t="s">
        <v>853</v>
      </c>
      <c r="L25" s="46" t="s">
        <v>854</v>
      </c>
      <c r="M25" s="52" t="s">
        <v>855</v>
      </c>
    </row>
    <row r="26" spans="2:15" x14ac:dyDescent="0.25">
      <c r="D26" s="26"/>
      <c r="F26" s="66" t="s">
        <v>159</v>
      </c>
      <c r="G26" s="43">
        <f>SUMIFS('Cleaned Data'!M:M,'Cleaned Data'!G:G,Table3[[#This Row],[Region]])</f>
        <v>7911155</v>
      </c>
      <c r="H26" s="43">
        <f>SUMIFS('Cleaned Data'!Q:Q,'Cleaned Data'!G:G,'Formulas &amp; Analysis'!F26)</f>
        <v>988155</v>
      </c>
      <c r="I26" s="44">
        <f>AVERAGEIFS('Cleaned Data'!N:N,'Cleaned Data'!G:G,Table3[[#This Row],[Region]])</f>
        <v>0.24215198326930903</v>
      </c>
      <c r="K26" s="53" t="s">
        <v>856</v>
      </c>
      <c r="L26" s="54">
        <v>0.05</v>
      </c>
      <c r="M26" s="55">
        <f>SUM(Table1[Total Revenue (PKR)])*Table7[Value]</f>
        <v>2648437</v>
      </c>
    </row>
    <row r="28" spans="2:15" ht="41.25" customHeight="1" x14ac:dyDescent="0.25"/>
    <row r="29" spans="2:15" ht="18.75" x14ac:dyDescent="0.3">
      <c r="B29" s="72" t="s">
        <v>867</v>
      </c>
      <c r="C29" s="73" t="s">
        <v>857</v>
      </c>
      <c r="D29" s="74" t="s">
        <v>868</v>
      </c>
      <c r="E29" s="74" t="s">
        <v>858</v>
      </c>
      <c r="F29" s="74" t="s">
        <v>859</v>
      </c>
      <c r="G29" s="74" t="s">
        <v>860</v>
      </c>
      <c r="H29" s="74" t="s">
        <v>869</v>
      </c>
      <c r="I29" s="74" t="s">
        <v>870</v>
      </c>
      <c r="J29" s="74" t="s">
        <v>861</v>
      </c>
      <c r="K29" s="74" t="s">
        <v>862</v>
      </c>
      <c r="L29" s="74" t="s">
        <v>863</v>
      </c>
      <c r="M29" s="74" t="s">
        <v>864</v>
      </c>
      <c r="N29" s="75" t="s">
        <v>865</v>
      </c>
      <c r="O29" s="101" t="s">
        <v>888</v>
      </c>
    </row>
    <row r="30" spans="2:15" x14ac:dyDescent="0.25">
      <c r="B30" s="48" t="s">
        <v>20</v>
      </c>
      <c r="C30" s="39">
        <f>SUMIFS('Cleaned Data'!$M:$M,'Cleaned Data'!$C:$C,C$29,'Cleaned Data'!$H:$H,$B30)</f>
        <v>518100</v>
      </c>
      <c r="D30" s="39">
        <f>SUMIFS('Cleaned Data'!$M:$M,'Cleaned Data'!$H:$H,$B30,'Cleaned Data'!$C:$C,D$29)</f>
        <v>1214250</v>
      </c>
      <c r="E30" s="39">
        <f>SUMIFS('Cleaned Data'!$M:$M,'Cleaned Data'!$H:$H,$B30,'Cleaned Data'!$C:$C,E$29)</f>
        <v>896250</v>
      </c>
      <c r="F30" s="39">
        <f>SUMIFS('Cleaned Data'!$M:$M,'Cleaned Data'!$H:$H,$B30,'Cleaned Data'!$C:$C,F$29)</f>
        <v>268725</v>
      </c>
      <c r="G30" s="39">
        <f>SUMIFS('Cleaned Data'!$M:$M,'Cleaned Data'!$H:$H,$B30,'Cleaned Data'!$C:$C,G$29)</f>
        <v>472500</v>
      </c>
      <c r="H30" s="39">
        <f>SUMIFS('Cleaned Data'!$M:$M,'Cleaned Data'!$H:$H,$B30,'Cleaned Data'!$C:$C,H$29)</f>
        <v>1902750</v>
      </c>
      <c r="I30" s="39">
        <f>SUMIFS('Cleaned Data'!$M:$M,'Cleaned Data'!$H:$H,$B30,'Cleaned Data'!$C:$C,I$29)</f>
        <v>1168500</v>
      </c>
      <c r="J30" s="39">
        <f>SUMIFS('Cleaned Data'!$M:$M,'Cleaned Data'!$H:$H,$B30,'Cleaned Data'!$C:$C,J$29)</f>
        <v>1189650</v>
      </c>
      <c r="K30" s="39">
        <f>SUMIFS('Cleaned Data'!$M:$M,'Cleaned Data'!$H:$H,$B30,'Cleaned Data'!$C:$C,K$29)</f>
        <v>1451400</v>
      </c>
      <c r="L30" s="39">
        <f>SUMIFS('Cleaned Data'!$M:$M,'Cleaned Data'!$H:$H,$B30,'Cleaned Data'!$C:$C,L$29)</f>
        <v>1230900</v>
      </c>
      <c r="M30" s="39">
        <f>SUMIFS('Cleaned Data'!$M:$M,'Cleaned Data'!$H:$H,$B30,'Cleaned Data'!$C:$C,M$29)</f>
        <v>1066650</v>
      </c>
      <c r="N30" s="39">
        <f>SUMIFS('Cleaned Data'!$M:$M,'Cleaned Data'!$H:$H,$B30,'Cleaned Data'!$C:$C,N$29)</f>
        <v>964375</v>
      </c>
      <c r="O30" s="100">
        <f>SUM(Table8[[#This Row],[JAN]:[DEC]])</f>
        <v>12344050</v>
      </c>
    </row>
    <row r="31" spans="2:15" x14ac:dyDescent="0.25">
      <c r="B31" s="71" t="s">
        <v>28</v>
      </c>
      <c r="C31" s="41">
        <f>SUMIFS('Cleaned Data'!M:M,'Cleaned Data'!C:C,C$29,'Cleaned Data'!H:H,$B31)</f>
        <v>1320000</v>
      </c>
      <c r="D31" s="41">
        <f>SUMIFS('Cleaned Data'!$M:$M,'Cleaned Data'!$H:$H,$B31,'Cleaned Data'!$C:$C,D$29)</f>
        <v>1092750</v>
      </c>
      <c r="E31" s="41">
        <f>SUMIFS('Cleaned Data'!$M:$M,'Cleaned Data'!$H:$H,$B31,'Cleaned Data'!$C:$C,E$29)</f>
        <v>4213000</v>
      </c>
      <c r="F31" s="41">
        <f>SUMIFS('Cleaned Data'!$M:$M,'Cleaned Data'!$H:$H,$B31,'Cleaned Data'!$C:$C,F$29)</f>
        <v>3602500</v>
      </c>
      <c r="G31" s="41">
        <f>SUMIFS('Cleaned Data'!$M:$M,'Cleaned Data'!$H:$H,$B31,'Cleaned Data'!$C:$C,G$29)</f>
        <v>4013500</v>
      </c>
      <c r="H31" s="41">
        <f>SUMIFS('Cleaned Data'!$M:$M,'Cleaned Data'!$H:$H,$B31,'Cleaned Data'!$C:$C,H$29)</f>
        <v>1304500</v>
      </c>
      <c r="I31" s="41">
        <f>SUMIFS('Cleaned Data'!$M:$M,'Cleaned Data'!$H:$H,$B31,'Cleaned Data'!$C:$C,I$29)</f>
        <v>2040000</v>
      </c>
      <c r="J31" s="41">
        <f>SUMIFS('Cleaned Data'!$M:$M,'Cleaned Data'!$H:$H,$B31,'Cleaned Data'!$C:$C,J$29)</f>
        <v>2193500</v>
      </c>
      <c r="K31" s="41">
        <f>SUMIFS('Cleaned Data'!$M:$M,'Cleaned Data'!$H:$H,$B31,'Cleaned Data'!$C:$C,K$29)</f>
        <v>4219500</v>
      </c>
      <c r="L31" s="41">
        <f>SUMIFS('Cleaned Data'!$M:$M,'Cleaned Data'!$H:$H,$B31,'Cleaned Data'!$C:$C,L$29)</f>
        <v>2615750</v>
      </c>
      <c r="M31" s="41">
        <f>SUMIFS('Cleaned Data'!$M:$M,'Cleaned Data'!$H:$H,$B31,'Cleaned Data'!$C:$C,M$29)</f>
        <v>2811000</v>
      </c>
      <c r="N31" s="41">
        <f>SUMIFS('Cleaned Data'!$M:$M,'Cleaned Data'!$H:$H,$B31,'Cleaned Data'!$C:$C,N$29)</f>
        <v>3896000</v>
      </c>
      <c r="O31" s="41">
        <f>SUM(Table8[[#This Row],[JAN]:[DEC]])</f>
        <v>33322000</v>
      </c>
    </row>
    <row r="32" spans="2:15" x14ac:dyDescent="0.25">
      <c r="B32" s="48" t="s">
        <v>34</v>
      </c>
      <c r="C32" s="39">
        <f>SUMIFS('Cleaned Data'!M:M,'Cleaned Data'!C:C,C$29,'Cleaned Data'!H:H,$B32)</f>
        <v>228975</v>
      </c>
      <c r="D32" s="39">
        <f>SUMIFS('Cleaned Data'!$M:$M,'Cleaned Data'!$H:$H,$B32,'Cleaned Data'!$C:$C,D$29)</f>
        <v>239000</v>
      </c>
      <c r="E32" s="39">
        <f>SUMIFS('Cleaned Data'!$M:$M,'Cleaned Data'!$H:$H,$B32,'Cleaned Data'!$C:$C,E$29)</f>
        <v>202325</v>
      </c>
      <c r="F32" s="39">
        <f>SUMIFS('Cleaned Data'!$M:$M,'Cleaned Data'!$H:$H,$B32,'Cleaned Data'!$C:$C,F$29)</f>
        <v>162425</v>
      </c>
      <c r="G32" s="39">
        <f>SUMIFS('Cleaned Data'!$M:$M,'Cleaned Data'!$H:$H,$B32,'Cleaned Data'!$C:$C,G$29)</f>
        <v>350075</v>
      </c>
      <c r="H32" s="39">
        <f>SUMIFS('Cleaned Data'!$M:$M,'Cleaned Data'!$H:$H,$B32,'Cleaned Data'!$C:$C,H$29)</f>
        <v>509625</v>
      </c>
      <c r="I32" s="39">
        <f>SUMIFS('Cleaned Data'!$M:$M,'Cleaned Data'!$H:$H,$B32,'Cleaned Data'!$C:$C,I$29)</f>
        <v>605175</v>
      </c>
      <c r="J32" s="39">
        <f>SUMIFS('Cleaned Data'!$M:$M,'Cleaned Data'!$H:$H,$B32,'Cleaned Data'!$C:$C,J$29)</f>
        <v>232400</v>
      </c>
      <c r="K32" s="39">
        <f>SUMIFS('Cleaned Data'!$M:$M,'Cleaned Data'!$H:$H,$B32,'Cleaned Data'!$C:$C,K$29)</f>
        <v>282325</v>
      </c>
      <c r="L32" s="39">
        <f>SUMIFS('Cleaned Data'!$M:$M,'Cleaned Data'!$H:$H,$B32,'Cleaned Data'!$C:$C,L$29)</f>
        <v>195500</v>
      </c>
      <c r="M32" s="39">
        <f>SUMIFS('Cleaned Data'!$M:$M,'Cleaned Data'!$H:$H,$B32,'Cleaned Data'!$C:$C,M$29)</f>
        <v>168700</v>
      </c>
      <c r="N32" s="39">
        <f>SUMIFS('Cleaned Data'!$M:$M,'Cleaned Data'!$H:$H,$B32,'Cleaned Data'!$C:$C,N$29)</f>
        <v>147075</v>
      </c>
      <c r="O32" s="39">
        <f>SUM(Table8[[#This Row],[JAN]:[DEC]])</f>
        <v>3323600</v>
      </c>
    </row>
    <row r="33" spans="2:15" x14ac:dyDescent="0.25">
      <c r="B33" s="71" t="s">
        <v>53</v>
      </c>
      <c r="C33" s="41">
        <f>SUMIFS('Cleaned Data'!M:M,'Cleaned Data'!C:C,C$29,'Cleaned Data'!H:H,$B33)</f>
        <v>366900</v>
      </c>
      <c r="D33" s="41">
        <f>SUMIFS('Cleaned Data'!$M:$M,'Cleaned Data'!$H:$H,$B33,'Cleaned Data'!$C:$C,D$29)</f>
        <v>492780</v>
      </c>
      <c r="E33" s="41">
        <f>SUMIFS('Cleaned Data'!$M:$M,'Cleaned Data'!$H:$H,$B33,'Cleaned Data'!$C:$C,E$29)</f>
        <v>112520</v>
      </c>
      <c r="F33" s="41">
        <f>SUMIFS('Cleaned Data'!$M:$M,'Cleaned Data'!$H:$H,$B33,'Cleaned Data'!$C:$C,F$29)</f>
        <v>208515</v>
      </c>
      <c r="G33" s="41">
        <f>SUMIFS('Cleaned Data'!$M:$M,'Cleaned Data'!$H:$H,$B33,'Cleaned Data'!$C:$C,G$29)</f>
        <v>535470</v>
      </c>
      <c r="H33" s="41">
        <f>SUMIFS('Cleaned Data'!$M:$M,'Cleaned Data'!$H:$H,$B33,'Cleaned Data'!$C:$C,H$29)</f>
        <v>273820</v>
      </c>
      <c r="I33" s="41">
        <f>SUMIFS('Cleaned Data'!$M:$M,'Cleaned Data'!$H:$H,$B33,'Cleaned Data'!$C:$C,I$29)</f>
        <v>277900</v>
      </c>
      <c r="J33" s="41">
        <f>SUMIFS('Cleaned Data'!$M:$M,'Cleaned Data'!$H:$H,$B33,'Cleaned Data'!$C:$C,J$29)</f>
        <v>300575</v>
      </c>
      <c r="K33" s="41">
        <f>SUMIFS('Cleaned Data'!$M:$M,'Cleaned Data'!$H:$H,$B33,'Cleaned Data'!$C:$C,K$29)</f>
        <v>56340</v>
      </c>
      <c r="L33" s="41">
        <f>SUMIFS('Cleaned Data'!$M:$M,'Cleaned Data'!$H:$H,$B33,'Cleaned Data'!$C:$C,L$29)</f>
        <v>68265</v>
      </c>
      <c r="M33" s="41">
        <f>SUMIFS('Cleaned Data'!$M:$M,'Cleaned Data'!$H:$H,$B33,'Cleaned Data'!$C:$C,M$29)</f>
        <v>115350</v>
      </c>
      <c r="N33" s="41">
        <f>SUMIFS('Cleaned Data'!$M:$M,'Cleaned Data'!$H:$H,$B33,'Cleaned Data'!$C:$C,N$29)</f>
        <v>316160</v>
      </c>
      <c r="O33" s="41">
        <f>SUM(Table8[[#This Row],[JAN]:[DEC]])</f>
        <v>3124595</v>
      </c>
    </row>
    <row r="34" spans="2:15" x14ac:dyDescent="0.25">
      <c r="B34" s="53" t="s">
        <v>93</v>
      </c>
      <c r="C34" s="76">
        <f>SUMIFS('Cleaned Data'!M:M,'Cleaned Data'!C:C,C$29,'Cleaned Data'!H:H,$B34)</f>
        <v>26720</v>
      </c>
      <c r="D34" s="76">
        <f>SUMIFS('Cleaned Data'!$M:$M,'Cleaned Data'!$H:$H,$B34,'Cleaned Data'!$C:$C,D$29)</f>
        <v>93505</v>
      </c>
      <c r="E34" s="39">
        <f>SUMIFS('Cleaned Data'!$M:$M,'Cleaned Data'!$H:$H,$B34,'Cleaned Data'!$C:$C,E$29)</f>
        <v>89895</v>
      </c>
      <c r="F34" s="39">
        <f>SUMIFS('Cleaned Data'!$M:$M,'Cleaned Data'!$H:$H,$B34,'Cleaned Data'!$C:$C,F$29)</f>
        <v>30995</v>
      </c>
      <c r="G34" s="39">
        <f>SUMIFS('Cleaned Data'!$M:$M,'Cleaned Data'!$H:$H,$B34,'Cleaned Data'!$C:$C,G$29)</f>
        <v>78720</v>
      </c>
      <c r="H34" s="39">
        <f>SUMIFS('Cleaned Data'!$M:$M,'Cleaned Data'!$H:$H,$B34,'Cleaned Data'!$C:$C,H$29)</f>
        <v>70460</v>
      </c>
      <c r="I34" s="39">
        <f>SUMIFS('Cleaned Data'!$M:$M,'Cleaned Data'!$H:$H,$B34,'Cleaned Data'!$C:$C,I$29)</f>
        <v>55735</v>
      </c>
      <c r="J34" s="39">
        <f>SUMIFS('Cleaned Data'!$M:$M,'Cleaned Data'!$H:$H,$B34,'Cleaned Data'!$C:$C,J$29)</f>
        <v>98630</v>
      </c>
      <c r="K34" s="39">
        <f>SUMIFS('Cleaned Data'!$M:$M,'Cleaned Data'!$H:$H,$B34,'Cleaned Data'!$C:$C,K$29)</f>
        <v>38755</v>
      </c>
      <c r="L34" s="39">
        <f>SUMIFS('Cleaned Data'!$M:$M,'Cleaned Data'!$H:$H,$B34,'Cleaned Data'!$C:$C,L$29)</f>
        <v>71030</v>
      </c>
      <c r="M34" s="39">
        <f>SUMIFS('Cleaned Data'!$M:$M,'Cleaned Data'!$H:$H,$B34,'Cleaned Data'!$C:$C,M$29)</f>
        <v>89465</v>
      </c>
      <c r="N34" s="39">
        <f>SUMIFS('Cleaned Data'!$M:$M,'Cleaned Data'!$H:$H,$B34,'Cleaned Data'!$C:$C,N$29)</f>
        <v>110585</v>
      </c>
      <c r="O34" s="76">
        <f>SUM(Table8[[#This Row],[JAN]:[DEC]])</f>
        <v>854495</v>
      </c>
    </row>
    <row r="39" spans="2:15" x14ac:dyDescent="0.25">
      <c r="D39" s="27"/>
    </row>
  </sheetData>
  <conditionalFormatting sqref="M4:M14">
    <cfRule type="top10" dxfId="190" priority="1" bottom="1" rank="3"/>
    <cfRule type="top10" dxfId="189" priority="2" rank="3"/>
    <cfRule type="top10" dxfId="188" priority="3" percent="1" rank="10"/>
  </conditionalFormatting>
  <pageMargins left="0.7" right="0.7" top="0.75" bottom="0.75" header="0.3" footer="0.3"/>
  <pageSetup orientation="portrait" r:id="rId1"/>
  <drawing r:id="rId2"/>
  <tableParts count="6">
    <tablePart r:id="rId3"/>
    <tablePart r:id="rId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N21"/>
  <sheetViews>
    <sheetView topLeftCell="A10" workbookViewId="0">
      <selection activeCell="B21" sqref="B21"/>
    </sheetView>
  </sheetViews>
  <sheetFormatPr defaultRowHeight="15" x14ac:dyDescent="0.25"/>
  <cols>
    <col min="1" max="1" width="26.140625" customWidth="1"/>
    <col min="2" max="2" width="18.140625" customWidth="1"/>
    <col min="3" max="3" width="8" customWidth="1"/>
    <col min="4" max="4" width="13.140625" customWidth="1"/>
    <col min="5" max="5" width="26.140625" customWidth="1"/>
    <col min="6" max="13" width="8" customWidth="1"/>
    <col min="14" max="14" width="11.28515625" bestFit="1" customWidth="1"/>
  </cols>
  <sheetData>
    <row r="4" spans="1:14" x14ac:dyDescent="0.25">
      <c r="A4" s="113" t="s">
        <v>872</v>
      </c>
      <c r="B4" t="s">
        <v>874</v>
      </c>
      <c r="D4" s="113" t="s">
        <v>872</v>
      </c>
      <c r="E4" t="s">
        <v>874</v>
      </c>
    </row>
    <row r="5" spans="1:14" x14ac:dyDescent="0.25">
      <c r="A5" s="87" t="s">
        <v>93</v>
      </c>
      <c r="B5" s="90">
        <v>854495</v>
      </c>
      <c r="D5" s="87" t="s">
        <v>48</v>
      </c>
      <c r="E5" s="90">
        <v>5230650</v>
      </c>
      <c r="G5" s="90"/>
      <c r="H5" s="90"/>
      <c r="I5" s="90"/>
      <c r="J5" s="90"/>
      <c r="K5" s="90"/>
      <c r="L5" s="90"/>
      <c r="M5" s="90"/>
      <c r="N5" s="90"/>
    </row>
    <row r="6" spans="1:14" x14ac:dyDescent="0.25">
      <c r="A6" s="87" t="s">
        <v>53</v>
      </c>
      <c r="B6" s="90">
        <v>3124595</v>
      </c>
      <c r="D6" s="87" t="s">
        <v>64</v>
      </c>
      <c r="E6" s="90">
        <v>5312700</v>
      </c>
      <c r="G6" s="90"/>
      <c r="H6" s="90"/>
      <c r="I6" s="90"/>
      <c r="J6" s="90"/>
      <c r="K6" s="90"/>
      <c r="L6" s="90"/>
      <c r="M6" s="90"/>
      <c r="N6" s="90"/>
    </row>
    <row r="7" spans="1:14" x14ac:dyDescent="0.25">
      <c r="A7" s="87" t="s">
        <v>34</v>
      </c>
      <c r="B7" s="90">
        <v>3323600</v>
      </c>
      <c r="D7" s="87" t="s">
        <v>27</v>
      </c>
      <c r="E7" s="90">
        <v>5745085</v>
      </c>
      <c r="G7" s="90"/>
      <c r="H7" s="90"/>
      <c r="I7" s="90"/>
      <c r="J7" s="90"/>
      <c r="K7" s="90"/>
      <c r="L7" s="90"/>
      <c r="M7" s="90"/>
      <c r="N7" s="90"/>
    </row>
    <row r="8" spans="1:14" x14ac:dyDescent="0.25">
      <c r="A8" s="87" t="s">
        <v>20</v>
      </c>
      <c r="B8" s="90">
        <v>12344050</v>
      </c>
      <c r="D8" s="87" t="s">
        <v>74</v>
      </c>
      <c r="E8" s="90">
        <v>6559530</v>
      </c>
      <c r="G8" s="90"/>
      <c r="H8" s="90"/>
      <c r="I8" s="90"/>
      <c r="J8" s="90"/>
      <c r="K8" s="90"/>
      <c r="L8" s="90"/>
      <c r="M8" s="90"/>
      <c r="N8" s="90"/>
    </row>
    <row r="9" spans="1:14" x14ac:dyDescent="0.25">
      <c r="A9" s="87" t="s">
        <v>28</v>
      </c>
      <c r="B9" s="90">
        <v>33322000</v>
      </c>
      <c r="D9" s="87" t="s">
        <v>52</v>
      </c>
      <c r="E9" s="90">
        <v>6952720</v>
      </c>
      <c r="G9" s="90"/>
      <c r="H9" s="90"/>
      <c r="I9" s="90"/>
      <c r="J9" s="90"/>
      <c r="K9" s="90"/>
      <c r="L9" s="90"/>
      <c r="M9" s="90"/>
      <c r="N9" s="90"/>
    </row>
    <row r="10" spans="1:14" x14ac:dyDescent="0.25">
      <c r="A10" s="87" t="s">
        <v>873</v>
      </c>
      <c r="B10" s="90">
        <v>52968740</v>
      </c>
      <c r="D10" s="87" t="s">
        <v>19</v>
      </c>
      <c r="E10" s="90">
        <v>7566335</v>
      </c>
      <c r="G10" s="90"/>
      <c r="H10" s="90"/>
      <c r="I10" s="90"/>
      <c r="J10" s="90"/>
      <c r="K10" s="90"/>
      <c r="L10" s="90"/>
      <c r="M10" s="90"/>
      <c r="N10" s="90"/>
    </row>
    <row r="11" spans="1:14" x14ac:dyDescent="0.25">
      <c r="D11" s="87" t="s">
        <v>40</v>
      </c>
      <c r="E11" s="90">
        <v>7690565</v>
      </c>
    </row>
    <row r="12" spans="1:14" x14ac:dyDescent="0.25">
      <c r="A12" s="113" t="s">
        <v>872</v>
      </c>
      <c r="B12" t="s">
        <v>874</v>
      </c>
      <c r="D12" s="87" t="s">
        <v>159</v>
      </c>
      <c r="E12" s="90">
        <v>7911155</v>
      </c>
    </row>
    <row r="13" spans="1:14" x14ac:dyDescent="0.25">
      <c r="A13" s="87" t="s">
        <v>92</v>
      </c>
      <c r="B13" s="90">
        <v>8698130</v>
      </c>
      <c r="D13" s="87" t="s">
        <v>873</v>
      </c>
      <c r="E13" s="90">
        <v>52968740</v>
      </c>
    </row>
    <row r="14" spans="1:14" x14ac:dyDescent="0.25">
      <c r="A14" s="87" t="s">
        <v>47</v>
      </c>
      <c r="B14" s="90">
        <v>7225110</v>
      </c>
    </row>
    <row r="15" spans="1:14" x14ac:dyDescent="0.25">
      <c r="A15" s="87" t="s">
        <v>100</v>
      </c>
      <c r="B15" s="90">
        <v>6054305</v>
      </c>
    </row>
    <row r="16" spans="1:14" x14ac:dyDescent="0.25">
      <c r="A16" s="87" t="s">
        <v>18</v>
      </c>
      <c r="B16" s="90">
        <v>6046970</v>
      </c>
    </row>
    <row r="17" spans="1:2" x14ac:dyDescent="0.25">
      <c r="A17" s="87" t="s">
        <v>33</v>
      </c>
      <c r="B17" s="90">
        <v>5657955</v>
      </c>
    </row>
    <row r="18" spans="1:2" x14ac:dyDescent="0.25">
      <c r="A18" s="87" t="s">
        <v>873</v>
      </c>
      <c r="B18" s="90">
        <v>33682470</v>
      </c>
    </row>
    <row r="20" spans="1:2" x14ac:dyDescent="0.25">
      <c r="A20" t="s">
        <v>874</v>
      </c>
      <c r="B20" t="s">
        <v>911</v>
      </c>
    </row>
    <row r="21" spans="1:2" x14ac:dyDescent="0.25">
      <c r="A21" s="114">
        <v>52968740</v>
      </c>
      <c r="B21" s="115">
        <v>9129880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N31"/>
  <sheetViews>
    <sheetView showGridLines="0" showRowColHeaders="0" tabSelected="1" zoomScale="85" zoomScaleNormal="85" workbookViewId="0">
      <selection activeCell="P26" sqref="P26"/>
    </sheetView>
  </sheetViews>
  <sheetFormatPr defaultRowHeight="15" x14ac:dyDescent="0.25"/>
  <cols>
    <col min="1" max="1" width="3.85546875" customWidth="1"/>
    <col min="2" max="2" width="21.85546875" customWidth="1"/>
    <col min="3" max="3" width="34.140625" customWidth="1"/>
    <col min="4" max="4" width="11" customWidth="1"/>
    <col min="5" max="5" width="19.42578125" customWidth="1"/>
    <col min="6" max="6" width="24.5703125" customWidth="1"/>
    <col min="7" max="7" width="6.5703125" customWidth="1"/>
    <col min="8" max="8" width="14.140625" customWidth="1"/>
    <col min="9" max="9" width="13.42578125" customWidth="1"/>
    <col min="10" max="10" width="12.140625" customWidth="1"/>
    <col min="11" max="11" width="11" customWidth="1"/>
    <col min="12" max="12" width="15" bestFit="1" customWidth="1"/>
  </cols>
  <sheetData>
    <row r="5" spans="2:12" ht="18.75" x14ac:dyDescent="0.3">
      <c r="E5" s="91" t="s">
        <v>886</v>
      </c>
      <c r="F5" s="91" t="s">
        <v>14</v>
      </c>
      <c r="G5" s="91"/>
      <c r="H5" s="91"/>
      <c r="I5" s="91"/>
      <c r="J5" s="91"/>
      <c r="K5" s="91"/>
      <c r="L5" s="91"/>
    </row>
    <row r="6" spans="2:12" ht="18.75" x14ac:dyDescent="0.3">
      <c r="E6" s="91" t="s">
        <v>872</v>
      </c>
      <c r="F6" s="91" t="s">
        <v>23</v>
      </c>
      <c r="G6" s="91" t="s">
        <v>43</v>
      </c>
      <c r="H6" s="91" t="s">
        <v>36</v>
      </c>
      <c r="I6" s="91" t="s">
        <v>55</v>
      </c>
      <c r="J6" s="91" t="s">
        <v>30</v>
      </c>
      <c r="K6" s="91" t="s">
        <v>66</v>
      </c>
      <c r="L6" s="91" t="s">
        <v>873</v>
      </c>
    </row>
    <row r="7" spans="2:12" x14ac:dyDescent="0.25">
      <c r="E7" s="87" t="s">
        <v>95</v>
      </c>
      <c r="F7" s="90">
        <v>6</v>
      </c>
      <c r="G7" s="90">
        <v>5</v>
      </c>
      <c r="H7" s="90">
        <v>5</v>
      </c>
      <c r="I7" s="90">
        <v>6</v>
      </c>
      <c r="J7" s="90">
        <v>6</v>
      </c>
      <c r="K7" s="90">
        <v>7</v>
      </c>
      <c r="L7" s="90">
        <v>35</v>
      </c>
    </row>
    <row r="8" spans="2:12" x14ac:dyDescent="0.25">
      <c r="E8" s="87" t="s">
        <v>44</v>
      </c>
      <c r="F8" s="90">
        <v>44</v>
      </c>
      <c r="G8" s="90">
        <v>48</v>
      </c>
      <c r="H8" s="90">
        <v>51</v>
      </c>
      <c r="I8" s="90">
        <v>43</v>
      </c>
      <c r="J8" s="90">
        <v>49</v>
      </c>
      <c r="K8" s="90">
        <v>55</v>
      </c>
      <c r="L8" s="90">
        <v>290</v>
      </c>
    </row>
    <row r="9" spans="2:12" ht="18.75" x14ac:dyDescent="0.3">
      <c r="B9" s="91" t="s">
        <v>872</v>
      </c>
      <c r="C9" s="91" t="s">
        <v>874</v>
      </c>
      <c r="E9" s="87" t="s">
        <v>24</v>
      </c>
      <c r="F9" s="90">
        <v>19</v>
      </c>
      <c r="G9" s="90">
        <v>10</v>
      </c>
      <c r="H9" s="90">
        <v>15</v>
      </c>
      <c r="I9" s="90">
        <v>10</v>
      </c>
      <c r="J9" s="90">
        <v>14</v>
      </c>
      <c r="K9" s="90">
        <v>16</v>
      </c>
      <c r="L9" s="90">
        <v>84</v>
      </c>
    </row>
    <row r="10" spans="2:12" ht="18.75" x14ac:dyDescent="0.3">
      <c r="B10" s="87" t="s">
        <v>27</v>
      </c>
      <c r="C10" s="90">
        <v>5745085</v>
      </c>
      <c r="E10" s="87" t="s">
        <v>56</v>
      </c>
      <c r="F10" s="90">
        <v>3</v>
      </c>
      <c r="G10" s="90">
        <v>3</v>
      </c>
      <c r="H10" s="90">
        <v>3</v>
      </c>
      <c r="I10" s="90">
        <v>2</v>
      </c>
      <c r="J10" s="90">
        <v>6</v>
      </c>
      <c r="K10" s="90">
        <v>1</v>
      </c>
      <c r="L10" s="90">
        <v>18</v>
      </c>
    </row>
    <row r="11" spans="2:12" x14ac:dyDescent="0.25">
      <c r="B11" s="88" t="s">
        <v>34</v>
      </c>
      <c r="C11" s="90">
        <v>430300</v>
      </c>
      <c r="E11" s="87" t="s">
        <v>86</v>
      </c>
      <c r="F11" s="90">
        <v>18</v>
      </c>
      <c r="G11" s="90">
        <v>9</v>
      </c>
      <c r="H11" s="90">
        <v>11</v>
      </c>
      <c r="I11" s="90">
        <v>14</v>
      </c>
      <c r="J11" s="90">
        <v>8</v>
      </c>
      <c r="K11" s="90">
        <v>13</v>
      </c>
      <c r="L11" s="90">
        <v>73</v>
      </c>
    </row>
    <row r="12" spans="2:12" ht="18.75" x14ac:dyDescent="0.3">
      <c r="B12" s="89" t="s">
        <v>100</v>
      </c>
      <c r="C12" s="90">
        <v>14000</v>
      </c>
      <c r="E12" s="92" t="s">
        <v>873</v>
      </c>
      <c r="F12" s="93">
        <v>90</v>
      </c>
      <c r="G12" s="93">
        <v>75</v>
      </c>
      <c r="H12" s="93">
        <v>85</v>
      </c>
      <c r="I12" s="93">
        <v>75</v>
      </c>
      <c r="J12" s="93">
        <v>83</v>
      </c>
      <c r="K12" s="93">
        <v>92</v>
      </c>
      <c r="L12" s="93">
        <v>500</v>
      </c>
    </row>
    <row r="13" spans="2:12" x14ac:dyDescent="0.25">
      <c r="B13" s="89" t="s">
        <v>92</v>
      </c>
      <c r="C13" s="90">
        <v>27000</v>
      </c>
    </row>
    <row r="14" spans="2:12" x14ac:dyDescent="0.25">
      <c r="B14" s="89" t="s">
        <v>33</v>
      </c>
      <c r="C14" s="90">
        <v>188800</v>
      </c>
    </row>
    <row r="15" spans="2:12" x14ac:dyDescent="0.25">
      <c r="B15" s="89" t="s">
        <v>77</v>
      </c>
      <c r="C15" s="90">
        <v>19950</v>
      </c>
    </row>
    <row r="16" spans="2:12" x14ac:dyDescent="0.25">
      <c r="B16" s="89" t="s">
        <v>63</v>
      </c>
      <c r="C16" s="90">
        <v>136700</v>
      </c>
    </row>
    <row r="17" spans="2:14" x14ac:dyDescent="0.25">
      <c r="B17" s="89" t="s">
        <v>47</v>
      </c>
      <c r="C17" s="90">
        <v>14600</v>
      </c>
    </row>
    <row r="18" spans="2:14" ht="18.75" x14ac:dyDescent="0.3">
      <c r="B18" s="89" t="s">
        <v>18</v>
      </c>
      <c r="C18" s="90">
        <v>17100</v>
      </c>
      <c r="E18" s="91" t="s">
        <v>872</v>
      </c>
      <c r="F18" s="91" t="s">
        <v>889</v>
      </c>
      <c r="G18" s="91" t="s">
        <v>890</v>
      </c>
    </row>
    <row r="19" spans="2:14" x14ac:dyDescent="0.25">
      <c r="B19" s="89" t="s">
        <v>39</v>
      </c>
      <c r="C19" s="90">
        <v>12150</v>
      </c>
      <c r="E19" s="87" t="s">
        <v>875</v>
      </c>
      <c r="F19" s="90">
        <v>2460695</v>
      </c>
      <c r="G19" s="90">
        <v>552595</v>
      </c>
      <c r="N19" s="27"/>
    </row>
    <row r="20" spans="2:14" x14ac:dyDescent="0.25">
      <c r="B20" s="88" t="s">
        <v>28</v>
      </c>
      <c r="C20" s="90">
        <v>3858500</v>
      </c>
      <c r="E20" s="87" t="s">
        <v>868</v>
      </c>
      <c r="F20" s="90">
        <v>3132285</v>
      </c>
      <c r="G20" s="90">
        <v>856405</v>
      </c>
    </row>
    <row r="21" spans="2:14" x14ac:dyDescent="0.25">
      <c r="B21" s="88" t="s">
        <v>93</v>
      </c>
      <c r="C21" s="90">
        <v>101095</v>
      </c>
      <c r="E21" s="87" t="s">
        <v>876</v>
      </c>
      <c r="F21" s="90">
        <v>5513990</v>
      </c>
      <c r="G21" s="90">
        <v>878230</v>
      </c>
    </row>
    <row r="22" spans="2:14" x14ac:dyDescent="0.25">
      <c r="B22" s="88" t="s">
        <v>20</v>
      </c>
      <c r="C22" s="90">
        <v>992150</v>
      </c>
      <c r="E22" s="87" t="s">
        <v>877</v>
      </c>
      <c r="F22" s="90">
        <v>4273160</v>
      </c>
      <c r="G22" s="90">
        <v>321160</v>
      </c>
    </row>
    <row r="23" spans="2:14" x14ac:dyDescent="0.25">
      <c r="B23" s="88" t="s">
        <v>53</v>
      </c>
      <c r="C23" s="90">
        <v>363040</v>
      </c>
      <c r="E23" s="87" t="s">
        <v>878</v>
      </c>
      <c r="F23" s="90">
        <v>5450265</v>
      </c>
      <c r="G23" s="90">
        <v>861585</v>
      </c>
    </row>
    <row r="24" spans="2:14" x14ac:dyDescent="0.25">
      <c r="B24" s="87" t="s">
        <v>40</v>
      </c>
      <c r="C24" s="90">
        <v>7690565</v>
      </c>
      <c r="E24" s="87" t="s">
        <v>879</v>
      </c>
      <c r="F24" s="90">
        <v>4061155</v>
      </c>
      <c r="G24" s="90">
        <v>971535</v>
      </c>
    </row>
    <row r="25" spans="2:14" x14ac:dyDescent="0.25">
      <c r="B25" s="87" t="s">
        <v>19</v>
      </c>
      <c r="C25" s="90">
        <v>7566335</v>
      </c>
      <c r="E25" s="87" t="s">
        <v>880</v>
      </c>
      <c r="F25" s="90">
        <v>4147310</v>
      </c>
      <c r="G25" s="90">
        <v>800830</v>
      </c>
    </row>
    <row r="26" spans="2:14" x14ac:dyDescent="0.25">
      <c r="B26" s="87" t="s">
        <v>159</v>
      </c>
      <c r="C26" s="90">
        <v>7911155</v>
      </c>
      <c r="E26" s="87" t="s">
        <v>881</v>
      </c>
      <c r="F26" s="90">
        <v>4014755</v>
      </c>
      <c r="G26" s="90">
        <v>688915</v>
      </c>
    </row>
    <row r="27" spans="2:14" ht="18.75" x14ac:dyDescent="0.3">
      <c r="B27" s="87" t="s">
        <v>52</v>
      </c>
      <c r="C27" s="90">
        <v>6952720</v>
      </c>
      <c r="E27" s="87" t="s">
        <v>882</v>
      </c>
      <c r="F27" s="90">
        <v>6048320</v>
      </c>
      <c r="G27" s="90">
        <v>1083020</v>
      </c>
    </row>
    <row r="28" spans="2:14" x14ac:dyDescent="0.25">
      <c r="B28" s="87" t="s">
        <v>64</v>
      </c>
      <c r="C28" s="90">
        <v>5312700</v>
      </c>
      <c r="E28" s="87" t="s">
        <v>883</v>
      </c>
      <c r="F28" s="90">
        <v>4181445</v>
      </c>
      <c r="G28" s="90">
        <v>802725</v>
      </c>
    </row>
    <row r="29" spans="2:14" ht="18.75" x14ac:dyDescent="0.3">
      <c r="B29" s="87" t="s">
        <v>48</v>
      </c>
      <c r="C29" s="90">
        <v>5230650</v>
      </c>
      <c r="E29" s="87" t="s">
        <v>884</v>
      </c>
      <c r="F29" s="90">
        <v>4251165</v>
      </c>
      <c r="G29" s="90">
        <v>762365</v>
      </c>
      <c r="M29" s="94"/>
    </row>
    <row r="30" spans="2:14" x14ac:dyDescent="0.25">
      <c r="B30" s="87" t="s">
        <v>74</v>
      </c>
      <c r="C30" s="90">
        <v>6559530</v>
      </c>
      <c r="E30" s="87" t="s">
        <v>885</v>
      </c>
      <c r="F30" s="90">
        <v>5434195</v>
      </c>
      <c r="G30" s="90">
        <v>550515</v>
      </c>
    </row>
    <row r="31" spans="2:14" ht="18.75" x14ac:dyDescent="0.3">
      <c r="B31" s="92" t="s">
        <v>873</v>
      </c>
      <c r="C31" s="93">
        <v>52968740</v>
      </c>
      <c r="E31" s="92" t="s">
        <v>873</v>
      </c>
      <c r="F31" s="93">
        <v>52968740</v>
      </c>
      <c r="G31" s="93">
        <v>9129880</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1"/>
  <sheetViews>
    <sheetView showGridLines="0" showRowColHeaders="0" zoomScale="80" zoomScaleNormal="80" workbookViewId="0">
      <pane ySplit="3" topLeftCell="A4" activePane="bottomLeft" state="frozen"/>
      <selection pane="bottomLeft" activeCell="X32" sqref="X32"/>
    </sheetView>
  </sheetViews>
  <sheetFormatPr defaultRowHeight="15" x14ac:dyDescent="0.25"/>
  <cols>
    <col min="2" max="2" width="15.140625" bestFit="1" customWidth="1"/>
    <col min="4" max="4" width="11.28515625" bestFit="1" customWidth="1"/>
    <col min="7" max="7" width="9.7109375" bestFit="1" customWidth="1"/>
  </cols>
  <sheetData>
    <row r="2" spans="1:8" x14ac:dyDescent="0.25">
      <c r="A2" t="s">
        <v>887</v>
      </c>
    </row>
    <row r="3" spans="1:8" x14ac:dyDescent="0.25">
      <c r="B3" s="96"/>
    </row>
    <row r="5" spans="1:8" ht="18.75" x14ac:dyDescent="0.3">
      <c r="B5" s="94">
        <f>SUM(Table1[Total Revenue (PKR)])</f>
        <v>52968740</v>
      </c>
      <c r="C5" s="27"/>
      <c r="D5" s="94">
        <f>SUM(Table1[Profit (PKR)])</f>
        <v>9129880</v>
      </c>
    </row>
    <row r="6" spans="1:8" ht="18.75" x14ac:dyDescent="0.3">
      <c r="B6" s="27"/>
      <c r="C6" s="27"/>
      <c r="G6" s="97">
        <f>Table1[[#Totals],[Profit (PKR)]]/Table1[[#Totals],[Total Revenue (PKR)]]</f>
        <v>0.17236354876479976</v>
      </c>
    </row>
    <row r="7" spans="1:8" x14ac:dyDescent="0.25">
      <c r="D7" s="27"/>
    </row>
    <row r="9" spans="1:8" ht="4.5" customHeight="1" x14ac:dyDescent="0.25"/>
    <row r="11" spans="1:8" ht="23.25" x14ac:dyDescent="0.35">
      <c r="B11" s="98" t="str">
        <f>INDEX(Table3[[#All],[Region]],MATCH(MAX(Table3[[#All],[Total Revenue]]),Table3[[#All],[Total Revenue]],0))</f>
        <v>Lahore</v>
      </c>
      <c r="E11" s="98" t="str">
        <f>INDEX(Table2[[#All],[Salesperson]],MATCH(MAX(Table2[[#All],[Total Revenue ]]),Table2[[#All],[Total Revenue ]],0))</f>
        <v>Bilal Hussain</v>
      </c>
      <c r="F11" s="95"/>
      <c r="H11" s="99">
        <f>COUNTIFS(Table1[Delivery Status],"Delivered")</f>
        <v>290</v>
      </c>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L30"/>
  <sheetViews>
    <sheetView showGridLines="0" showRowColHeaders="0" zoomScale="60" zoomScaleNormal="60" workbookViewId="0">
      <pane ySplit="5" topLeftCell="A6" activePane="bottomLeft" state="frozen"/>
      <selection pane="bottomLeft" activeCell="T60" sqref="T60"/>
    </sheetView>
  </sheetViews>
  <sheetFormatPr defaultRowHeight="15" x14ac:dyDescent="0.25"/>
  <cols>
    <col min="2" max="2" width="19.140625" customWidth="1"/>
    <col min="3" max="3" width="38.140625" customWidth="1"/>
    <col min="4" max="4" width="27.5703125" customWidth="1"/>
    <col min="5" max="5" width="54" customWidth="1"/>
  </cols>
  <sheetData>
    <row r="5" spans="9:11" ht="18" customHeight="1" x14ac:dyDescent="0.25"/>
    <row r="6" spans="9:11" x14ac:dyDescent="0.25">
      <c r="I6" s="77"/>
    </row>
    <row r="7" spans="9:11" x14ac:dyDescent="0.25">
      <c r="I7" s="77"/>
    </row>
    <row r="8" spans="9:11" x14ac:dyDescent="0.25">
      <c r="I8" s="77"/>
    </row>
    <row r="9" spans="9:11" x14ac:dyDescent="0.25">
      <c r="I9" s="77"/>
    </row>
    <row r="10" spans="9:11" x14ac:dyDescent="0.25">
      <c r="I10" s="77"/>
    </row>
    <row r="11" spans="9:11" x14ac:dyDescent="0.25">
      <c r="I11" s="77"/>
    </row>
    <row r="12" spans="9:11" x14ac:dyDescent="0.25">
      <c r="I12" s="77"/>
    </row>
    <row r="13" spans="9:11" x14ac:dyDescent="0.25">
      <c r="I13" s="77"/>
    </row>
    <row r="14" spans="9:11" x14ac:dyDescent="0.25">
      <c r="I14" s="77"/>
    </row>
    <row r="15" spans="9:11" x14ac:dyDescent="0.25">
      <c r="I15" s="77"/>
    </row>
    <row r="16" spans="9:11" x14ac:dyDescent="0.25">
      <c r="I16" s="77"/>
      <c r="K16" s="77"/>
    </row>
    <row r="17" spans="2:12" x14ac:dyDescent="0.25">
      <c r="I17" s="77"/>
    </row>
    <row r="18" spans="2:12" x14ac:dyDescent="0.25">
      <c r="I18" s="77"/>
    </row>
    <row r="22" spans="2:12" ht="23.25" x14ac:dyDescent="0.35">
      <c r="B22" s="103" t="s">
        <v>891</v>
      </c>
      <c r="C22" s="112" t="s">
        <v>892</v>
      </c>
      <c r="D22" s="112" t="s">
        <v>854</v>
      </c>
      <c r="E22" s="112" t="s">
        <v>893</v>
      </c>
      <c r="F22" s="77"/>
    </row>
    <row r="23" spans="2:12" ht="22.5" customHeight="1" x14ac:dyDescent="0.3">
      <c r="B23" s="107">
        <v>1</v>
      </c>
      <c r="C23" s="108" t="s">
        <v>849</v>
      </c>
      <c r="D23" s="109" t="s">
        <v>894</v>
      </c>
      <c r="E23" s="111" t="s">
        <v>895</v>
      </c>
      <c r="F23" s="77"/>
      <c r="K23" s="106"/>
    </row>
    <row r="24" spans="2:12" ht="23.25" customHeight="1" x14ac:dyDescent="0.3">
      <c r="B24" s="107">
        <v>2</v>
      </c>
      <c r="C24" s="108" t="s">
        <v>846</v>
      </c>
      <c r="D24" s="109" t="s">
        <v>896</v>
      </c>
      <c r="E24" s="111" t="s">
        <v>897</v>
      </c>
      <c r="F24" s="77"/>
    </row>
    <row r="25" spans="2:12" ht="23.25" customHeight="1" x14ac:dyDescent="0.3">
      <c r="B25" s="107">
        <v>3</v>
      </c>
      <c r="C25" s="108" t="s">
        <v>898</v>
      </c>
      <c r="D25" s="109" t="s">
        <v>159</v>
      </c>
      <c r="E25" s="111" t="s">
        <v>899</v>
      </c>
      <c r="F25" s="77"/>
    </row>
    <row r="26" spans="2:12" ht="24.75" customHeight="1" x14ac:dyDescent="0.3">
      <c r="B26" s="107">
        <v>4</v>
      </c>
      <c r="C26" s="108" t="s">
        <v>908</v>
      </c>
      <c r="D26" s="109" t="s">
        <v>909</v>
      </c>
      <c r="E26" s="111" t="s">
        <v>910</v>
      </c>
      <c r="F26" s="77"/>
    </row>
    <row r="27" spans="2:12" ht="22.5" customHeight="1" x14ac:dyDescent="0.3">
      <c r="B27" s="107">
        <v>5</v>
      </c>
      <c r="C27" s="108" t="s">
        <v>900</v>
      </c>
      <c r="D27" s="109" t="s">
        <v>92</v>
      </c>
      <c r="E27" s="111" t="s">
        <v>901</v>
      </c>
      <c r="F27" s="77"/>
    </row>
    <row r="28" spans="2:12" ht="26.25" customHeight="1" x14ac:dyDescent="0.3">
      <c r="B28" s="107">
        <v>6</v>
      </c>
      <c r="C28" s="108" t="s">
        <v>902</v>
      </c>
      <c r="D28" s="109" t="s">
        <v>47</v>
      </c>
      <c r="E28" s="111" t="s">
        <v>903</v>
      </c>
      <c r="F28" s="77"/>
      <c r="L28" s="105"/>
    </row>
    <row r="29" spans="2:12" ht="21.75" customHeight="1" x14ac:dyDescent="0.3">
      <c r="B29" s="107">
        <v>7</v>
      </c>
      <c r="C29" s="108" t="s">
        <v>904</v>
      </c>
      <c r="D29" s="109" t="s">
        <v>28</v>
      </c>
      <c r="E29" s="111" t="s">
        <v>905</v>
      </c>
      <c r="F29" s="77"/>
    </row>
    <row r="30" spans="2:12" ht="23.25" customHeight="1" x14ac:dyDescent="0.3">
      <c r="B30" s="107">
        <v>8</v>
      </c>
      <c r="C30" s="108" t="s">
        <v>906</v>
      </c>
      <c r="D30" s="110">
        <v>0.57999999999999996</v>
      </c>
      <c r="E30" s="111" t="s">
        <v>907</v>
      </c>
      <c r="F30" s="77"/>
      <c r="K30" s="104"/>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Original Data</vt:lpstr>
      <vt:lpstr>Cleaned Data</vt:lpstr>
      <vt:lpstr>Formulas &amp; Analysis</vt:lpstr>
      <vt:lpstr>Sheet1</vt:lpstr>
      <vt:lpstr>Pivot Tables</vt:lpstr>
      <vt:lpstr>Dashboard</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dc:creator>
  <cp:lastModifiedBy>Anus</cp:lastModifiedBy>
  <cp:lastPrinted>2026-06-17T19:43:46Z</cp:lastPrinted>
  <dcterms:created xsi:type="dcterms:W3CDTF">2026-05-12T16:48:05Z</dcterms:created>
  <dcterms:modified xsi:type="dcterms:W3CDTF">2026-06-17T19:47:29Z</dcterms:modified>
</cp:coreProperties>
</file>